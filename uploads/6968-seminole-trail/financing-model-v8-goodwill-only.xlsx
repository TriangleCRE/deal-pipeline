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s &amp; Flags" sheetId="1" state="visible" r:id="rId3"/>
    <sheet name="Summary" sheetId="2" state="visible" r:id="rId4"/>
    <sheet name="Annual" sheetId="3" state="visible" r:id="rId5"/>
    <sheet name="Seminole Dev Inputs" sheetId="4" state="visible" r:id="rId6"/>
    <sheet name="Seminole Dev Returns" sheetId="5" state="visible" r:id="rId7"/>
  </sheets>
  <externalReferences>
    <externalReference r:id="rId8"/>
    <externalReference r:id="rId9"/>
    <externalReference r:id="rId10"/>
  </externalReferences>
  <definedNames>
    <definedName function="false" hidden="false" localSheetId="1" name="_xlnm.Print_Area" vbProcedure="false">Summary!$A$1:$V$53</definedName>
    <definedName function="false" hidden="true" name="asdf2" vbProcedure="false">{#N/A,#N/A,FALSE,"OperatingAssumptions"}</definedName>
    <definedName function="false" hidden="true" name="asdf3" vbProcedure="false">{#N/A,#N/A,FALSE,"LoanAssumptions"}</definedName>
    <definedName function="false" hidden="true" name="asdf5" vbProcedure="false">{"MonthlyRentRoll",#N/A,FALSE,"RentRoll"}</definedName>
    <definedName function="false" hidden="true" name="asdf7" vbProcedure="false">{#N/A,#N/A,TRUE,"Summary";"AnnualRentRoll",#N/A,TRUE,"RentRoll";#N/A,#N/A,TRUE,"ExitStratigy";#N/A,#N/A,TRUE,"OperatingAssumptions"}</definedName>
    <definedName function="false" hidden="true" name="data" vbProcedure="false">{"data",#N/A,FALSE,"INPUT"}</definedName>
    <definedName function="false" hidden="true" name="HTML_CodePage" vbProcedure="false">1252</definedName>
    <definedName function="false" hidden="true" name="HTML_Control" vbProcedure="false">{"'Cash Requirements 5F '!$A$1:$AC$48"}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"Cash Requirements 5F"</definedName>
    <definedName function="false" hidden="true" name="HTML_LastUpdate" vbProcedure="false">"7/10/00"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"ERICK"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"C:\xldata\july2000cash.htm"</definedName>
    <definedName function="false" hidden="true" name="HTML_Title" vbProcedure="false">"Discover July 2000 Cashflow"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D" vbProcedure="false">"c7"</definedName>
    <definedName function="false" hidden="true" name="IQ_ADD_PAID_IN" vbProcedure="false">"c39"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"c88"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TITLE" vbProcedure="false">"c97"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OSEPRICE" vbProcedure="false">"c174"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Q" vbProcedure="false">5000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Y" vbProcedure="false">10000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SHARE" vbProcedure="false">"c330"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DA" vbProcedure="false">"c361"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UM_EST" vbProcedure="false">"c402"</definedName>
    <definedName function="false" hidden="true" name="IQ_EPS_STDDEV_EST" vbProcedure="false">"c403"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DATE" vbProcedure="false">"c1634"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XCHANGE" vbProcedure="false">"c405"</definedName>
    <definedName function="false" hidden="true" name="IQ_EXERCISE_PRICE" vbProcedure="false">"c406"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LB_DEBT" vbProcedure="false">"c423"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Y" vbProcedure="false">1000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"c192"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"c511"</definedName>
    <definedName function="false" hidden="true" name="IQ_GW" vbProcedure="false">"c530"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RKETCAP" vbProcedure="false">"c712"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NET_CHANGE" vbProcedure="false">"c749"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"c781"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SFAS" vbProcedure="false">"c795"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OCCUPY_EXP" vbProcedure="false">"c839"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ISSUED" vbProcedure="false">"c857"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PART_TIME" vbProcedure="false">"c1024"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_OVER_BVPS" vbProcedure="false">"c1026"</definedName>
    <definedName function="false" hidden="true" name="IQ_PRICE_OVER_LTM_EPS" vbProcedure="false">"c1029"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EST" vbProcedure="false">"c1126"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UM_EST" vbProcedure="false">"c1129"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SALARY" vbProcedure="false">"c1130"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S_GAAP" vbProcedure="false">"c1331"</definedName>
    <definedName function="false" hidden="true" name="IQ_UTIL_PPE_NET" vbProcedure="false">"c1620"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" vbProcedure="false">3000</definedName>
    <definedName function="false" hidden="true" name="IQ_Z_SCORE" vbProcedure="false">"c1339"</definedName>
    <definedName function="false" hidden="true" name="Print" vbProcedure="false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function="false" hidden="true" name="Print2" vbProcedure="false">{#N/A,#N/A,FALSE,"Cover";#N/A,#N/A,FALSE,"Stack";#N/A,#N/A,FALSE,"Cost S";#N/A,#N/A,FALSE," CF";#N/A,#N/A,FALSE,"Investor"}</definedName>
    <definedName function="false" hidden="true" name="Residu" vbProcedure="false">{#N/A,#N/A,TRUE,"Summary";"AnnualRentRoll",#N/A,TRUE,"RentRoll";#N/A,#N/A,TRUE,"ExitStratigy";#N/A,#N/A,TRUE,"OperatingAssumptions"}</definedName>
    <definedName function="false" hidden="true" name="sadd" vbProcedure="false">{"MonthlyRentRoll",#N/A,FALSE,"RentRoll"}</definedName>
    <definedName function="false" hidden="true" name="sadd1" vbProcedure="false">{"MonthlyRentRoll",#N/A,FALSE,"RentRoll"}</definedName>
    <definedName function="false" hidden="true" name="sadd2" vbProcedure="false">{"MonthlyRentRoll",#N/A,FALSE,"RentRoll"}</definedName>
    <definedName function="false" hidden="true" name="saddd" vbProcedure="false">{"AnnualRentRoll",#N/A,FALSE,"RentRoll"}</definedName>
    <definedName function="false" hidden="true" name="saddd2" vbProcedure="false">{"AnnualRentRoll",#N/A,FALSE,"RentRoll"}</definedName>
    <definedName function="false" hidden="true" name="sadddd2" vbProcedure="false">{"AnnualRentRoll",#N/A,FALSE,"RentRoll"}</definedName>
    <definedName function="false" hidden="true" name="saddddd" vbProcedure="false">{"AnnualRentRoll",#N/A,FALSE,"RentRoll"}</definedName>
    <definedName function="false" hidden="true" name="saddddddd2" vbProcedure="false">{#N/A,#N/A,FALSE,"ExitStratigy"}</definedName>
    <definedName function="false" hidden="true" name="sadddddddd" vbProcedure="false">{#N/A,#N/A,FALSE,"ExitStratigy"}</definedName>
    <definedName function="false" hidden="true" name="saddddddddd2" vbProcedure="false">{#N/A,#N/A,FALSE,"LoanAssumptions"}</definedName>
    <definedName function="false" hidden="true" name="sadddddddddd" vbProcedure="false">{#N/A,#N/A,FALSE,"LoanAssumptions"}</definedName>
    <definedName function="false" hidden="true" name="saddddddddddd2" vbProcedure="false">{#N/A,#N/A,FALSE,"OperatingAssumptions"}</definedName>
    <definedName function="false" hidden="true" name="saddddddddddddd" vbProcedure="false">{#N/A,#N/A,FALSE,"OperatingAssumptions"}</definedName>
    <definedName function="false" hidden="true" name="what_asdf2" vbProcedure="false">{#N/A,#N/A,FALSE,"OperatingAssumptions"}</definedName>
    <definedName function="false" hidden="true" name="wrn.2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wrn.AnnualRentRoll" vbProcedure="false">{"AnnualRentRoll",#N/A,FALSE,"RentRoll"}</definedName>
    <definedName function="false" hidden="true" name="wrn.AnnualRentRoll." vbProcedure="false">{"AnnualRentRoll",#N/A,FALSE,"RentRoll"}</definedName>
    <definedName function="false" hidden="true" name="wrn.annualrentroll2" vbProcedure="false">{"AnnualRentRoll",#N/A,FALSE,"RentRoll"}</definedName>
    <definedName function="false" hidden="true" name="wrn.CF._.Print.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wrn.data." vbProcedure="false">{"data",#N/A,FALSE,"INPUT"}</definedName>
    <definedName function="false" hidden="true" name="wrn.ExitAndSalesAssumptions." vbProcedure="false">{#N/A,#N/A,FALSE,"ExitStratigy"}</definedName>
    <definedName function="false" hidden="true" name="wrn.FCG." vbProcedure="false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function="false" hidden="true" name="wrn.Full_Template." vbProcedure="false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function="false" hidden="true" name="wrn.Hold._.Sell." vbProcedure="false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function="false" hidden="true" name="wrn.Leasing._.Variance." vbProcedure="false">{#N/A,#N/A,FALSE,"Leasing 6A"}</definedName>
    <definedName function="false" hidden="true" name="wrn.LoanInformation." vbProcedure="false">{#N/A,#N/A,FALSE,"LoanAssumptions"}</definedName>
    <definedName function="false" hidden="true" name="wrn.Marketing." vbProcedure="false">{#N/A,#N/A,FALSE,"2Assumptions";#N/A,#N/A,FALSE,"3Cash Flow";#N/A,#N/A,FALSE,"I&amp;E";#N/A,#N/A,FALSE,"I&amp;E (2)";#N/A,#N/A,FALSE,"10Vacancy Matrix";#N/A,#N/A,FALSE,"11Expiration Schedule"}</definedName>
    <definedName function="false" hidden="true" name="wrn.monthly._.financial." vbProcedure="false">{#N/A,#N/A,FALSE,"SUMMARY 4a";#N/A,#N/A,FALSE,"GBA 4b";#N/A,#N/A,FALSE,"TENANT 4c";#N/A,#N/A,FALSE,"BUDGET DETAIL";#N/A,#N/A,FALSE,"PRO FORMA"}</definedName>
    <definedName function="false" hidden="true" name="wrn.MonthlyRentRoll." vbProcedure="false">{"MonthlyRentRoll",#N/A,FALSE,"RentRoll"}</definedName>
    <definedName function="false" hidden="true" name="wrn.ontario." vbProcedure="false">{"page1",#N/A,FALSE,"sheet 1";"Page2",#N/A,FALSE,"sheet 1";"page3",#N/A,FALSE,"sheet 1";"page4",#N/A,FALSE,"sheet 1"}</definedName>
    <definedName function="false" hidden="true" name="wrn.OperatingAssumtions." vbProcedure="false">{#N/A,#N/A,FALSE,"OperatingAssumptions"}</definedName>
    <definedName function="false" hidden="true" name="wrn.p3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wrn.Package." vbProcedure="false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function="false" hidden="true" name="wrn.Partial." vbProcedure="false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function="false" hidden="true" name="wrn.Presentation." vbProcedure="false">{#N/A,#N/A,TRUE,"Summary";"AnnualRentRoll",#N/A,TRUE,"RentRoll";#N/A,#N/A,TRUE,"ExitStratigy";#N/A,#N/A,TRUE,"OperatingAssumptions"}</definedName>
    <definedName function="false" hidden="true" name="wrn.Pricing._.Strategy." vbProcedure="false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function="false" hidden="true" name="wrn.Print." vbProcedure="false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function="false" hidden="true" name="wrn.PrintAll." vbProcedure="false">{#N/A,#N/A,FALSE,"Broker Sheet";#N/A,#N/A,FALSE,"Exec.Summary";#N/A,#N/A,FALSE,"Argus Cash Flow";#N/A,#N/A,FALSE,"SPF";#N/A,#N/A,FALSE,"RentRoll"}</definedName>
    <definedName function="false" hidden="true" name="wrn.Proforma." vbProcedure="false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function="false" hidden="true" name="wrn.PropertyInformation." vbProcedure="false">{#N/A,#N/A,FALSE,"PropertyInfo"}</definedName>
    <definedName function="false" hidden="true" name="wrn.PR_TRIAL_BALANCE.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wrn.Report." vbProcedure="false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function="false" hidden="true" name="wrn.Short._.Print." vbProcedure="false">{#N/A,#N/A,FALSE,"Cover";#N/A,#N/A,FALSE,"Stack";#N/A,#N/A,FALSE,"Cost S";#N/A,#N/A,FALSE," CF";#N/A,#N/A,FALSE,"Investor"}</definedName>
    <definedName function="false" hidden="true" name="wrn.Summary." vbProcedure="false">{#N/A,#N/A,FALSE,"Summary"}</definedName>
    <definedName function="false" hidden="true" name="wrn.Template." vbProcedure="fals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function="false" hidden="true" name="wrn.USSC_Reports." vbProcedure="false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function="false" hidden="true" name="xxx3" vbProcedure="false">{"AnnualRentRoll",#N/A,FALSE,"RentRoll"}</definedName>
    <definedName function="false" hidden="true" name="xxx4" vbProcedure="false">{#N/A,#N/A,FALSE,"ExitStratigy"}</definedName>
    <definedName function="false" hidden="true" name="_1__123Graph_ACHART_1" vbProcedure="false">'[1]REITs &amp; S&amp;P'!$F$11:$F$31</definedName>
    <definedName function="false" hidden="true" name="_2__123Graph_ACHART_2" vbProcedure="false">[2]A!$E$171:$E$177</definedName>
    <definedName function="false" hidden="true" name="_3__123Graph_BCHART_1" vbProcedure="false">[3]A!$E$135:$E$141</definedName>
    <definedName function="false" hidden="true" name="_4__123Graph_XCHART_1" vbProcedure="false">'[1]REITs &amp; S&amp;P'!$D$11:$D$31</definedName>
    <definedName function="false" hidden="true" name="_5__123Graph_XCHART_2" vbProcedure="false">[2]A!$D$171:$D$177</definedName>
    <definedName function="false" hidden="true" name="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__123Graph_X" vbProcedure="false">#REF!</definedName>
    <definedName function="false" hidden="true" name="_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__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_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21" authorId="0">
      <text>
        <r>
          <rPr>
            <sz val="10"/>
            <rFont val="Arial"/>
            <family val="2"/>
          </rPr>
          <t xml:space="preserve">CORRECTED. Was (V14+V9+V10+V13)/F7, which summed only negative cost lines and showed -$29.19. Negated -&gt; positive breakeven rent per SF. Display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68</xdr:colOff>
                <xdr:row>0</xdr:row>
                <xdr:rowOff>2</xdr:rowOff>
              </xdr:from>
              <xdr:to>
                <xdr:col>2</xdr:col>
                <xdr:colOff>57</xdr:colOff>
                <xdr:row>6</xdr:row>
                <xdr:rowOff>1</xdr:rowOff>
              </xdr:to>
            </anchor>
          </commentPr>
        </mc:Choice>
        <mc:Fallback/>
      </mc:AlternateContent>
    </comment>
    <comment ref="V21" authorId="0">
      <text>
        <r>
          <rPr>
            <sz val="10"/>
            <rFont val="Arial"/>
            <family val="2"/>
          </rPr>
          <t xml:space="preserve">FLAG (not a formula change). The 7% commission is intentionally NOT in the project cash flow / IRR - a broker commission is a transaction cost, not a measure of deal quality. It's kept here for a separate take-home / net-proceeds analysis (commission + taxes), matching the approach used on Coyner. Only the 1.5% cost of sale (V20) flows into the project return.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68</xdr:colOff>
                <xdr:row>0</xdr:row>
                <xdr:rowOff>2</xdr:rowOff>
              </xdr:from>
              <xdr:to>
                <xdr:col>2</xdr:col>
                <xdr:colOff>57</xdr:colOff>
                <xdr:row>14</xdr:row>
                <xdr:rowOff>13</xdr:rowOff>
              </xdr:to>
            </anchor>
          </commentPr>
        </mc:Choice>
        <mc:Fallback/>
      </mc:AlternateContent>
    </comment>
    <comment ref="AC10" authorId="0">
      <text>
        <r>
          <rPr>
            <sz val="10"/>
            <rFont val="Arial"/>
            <family val="2"/>
          </rPr>
          <t xml:space="preserve">CORRECTED. Was =SUM(L22:L37), which included L31 (the full development-cost subtotal), so 'Project Cost' (AC11) showed $9.77M vs the true $5.33M. Now =SUM(L22:L30,L33:L38) = true soft costs; AC11 now ties to Total Project Cost (L39). Feeds the Threshold Cashflow (AO9).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68</xdr:colOff>
                <xdr:row>0</xdr:row>
                <xdr:rowOff>2</xdr:rowOff>
              </xdr:from>
              <xdr:to>
                <xdr:col>2</xdr:col>
                <xdr:colOff>57</xdr:colOff>
                <xdr:row>10</xdr:row>
                <xdr:rowOff>15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CORRECTED. Was =E25/D12 (divided project cost by the NNN-recovery rate -&gt; ~$3.6M/SF). Now =E25/E5 (per SF). Display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52</xdr:colOff>
                <xdr:row>0</xdr:row>
                <xdr:rowOff>2</xdr:rowOff>
              </xdr:from>
              <xdr:to>
                <xdr:col>2</xdr:col>
                <xdr:colOff>-63</xdr:colOff>
                <xdr:row>6</xdr:row>
                <xdr:rowOff>0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CORRECTED (K35:T35 and K36:T36). These pointed to Summary!#REF! / wrong cells; harmless only because the loan funds in year 0. Set to 0 so a future later-year draw can't pull garbage. J35/J36 unchanged.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52</xdr:colOff>
                <xdr:row>0</xdr:row>
                <xdr:rowOff>2</xdr:rowOff>
              </xdr:from>
              <xdr:to>
                <xdr:col>2</xdr:col>
                <xdr:colOff>-63</xdr:colOff>
                <xdr:row>9</xdr:row>
                <xdr:rowOff>18</xdr:rowOff>
              </xdr:to>
            </anchor>
          </commentPr>
        </mc:Choice>
        <mc:Fallback/>
      </mc:AlternateContent>
    </comment>
    <comment ref="M94" authorId="0">
      <text>
        <r>
          <rPr>
            <sz val="10"/>
            <rFont val="Arial"/>
            <family val="2"/>
          </rPr>
          <t xml:space="preserve">CORRECTED. Was =+#REF!-M95-M93 (the only LIVE error in the workbook). This mini-table (L92:M96) is incomplete scratch work; reconstructed so it no longer errors, but VERIFY OR DELETE - the authoritative GP metrics are in H92:I96.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52</xdr:colOff>
                <xdr:row>0</xdr:row>
                <xdr:rowOff>2</xdr:rowOff>
              </xdr:from>
              <xdr:to>
                <xdr:col>2</xdr:col>
                <xdr:colOff>-63</xdr:colOff>
                <xdr:row>9</xdr:row>
                <xdr:rowOff>3</xdr:rowOff>
              </xdr:to>
            </anchor>
          </commentPr>
        </mc:Choice>
        <mc:Fallback/>
      </mc:AlternateContent>
    </comment>
    <comment ref="M95" authorId="0">
      <text>
        <r>
          <rPr>
            <sz val="10"/>
            <rFont val="Arial"/>
            <family val="2"/>
          </rPr>
          <t xml:space="preserve">CORRECTED. Was =SUM(J86:EK86) (ran far past the model, returned a nonsensical value). Now = GP Promote (I96). See note on M94.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52</xdr:colOff>
                <xdr:row>0</xdr:row>
                <xdr:rowOff>2</xdr:rowOff>
              </xdr:from>
              <xdr:to>
                <xdr:col>2</xdr:col>
                <xdr:colOff>-63</xdr:colOff>
                <xdr:row>6</xdr:row>
                <xdr:rowOff>0</xdr:rowOff>
              </xdr:to>
            </anchor>
          </commentPr>
        </mc:Choice>
        <mc:Fallback/>
      </mc:AlternateContent>
    </comment>
    <comment ref="O117" authorId="0">
      <text>
        <r>
          <rPr>
            <sz val="10"/>
            <rFont val="Arial"/>
            <family val="2"/>
          </rPr>
          <t xml:space="preserve">CORRECTED (row J117:T117). Was -X112+X116, which over-repaid the loan by $164,811 (loan Ending Balance O118 came out to -$164,811 instead of $0). Now -(X112+X116) = correct remaining balance after the final year's amortization. Ending balance now $0; raises the sale-year cash flow.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52</xdr:colOff>
                <xdr:row>0</xdr:row>
                <xdr:rowOff>2</xdr:rowOff>
              </xdr:from>
              <xdr:to>
                <xdr:col>2</xdr:col>
                <xdr:colOff>-63</xdr:colOff>
                <xdr:row>12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<sst xmlns="http://schemas.openxmlformats.org/spreadsheetml/2006/main" count="511" uniqueCount="405">
  <si>
    <t xml:space="preserve">Base Model - Corrections &amp; Flags</t>
  </si>
  <si>
    <t xml:space="preserve">Review of Financing_Model_v6_260311 (base). Same template family as Coyner Park, and it carried the same structural bugs. This copy fixes them and flags items to confirm. Changed cells are green (with a comment); flagged (unchanged) cells are orange.</t>
  </si>
  <si>
    <t xml:space="preserve">HEADLINE IMPACT</t>
  </si>
  <si>
    <t xml:space="preserve">Metric</t>
  </si>
  <si>
    <t xml:space="preserve">As-built (v6)</t>
  </si>
  <si>
    <t xml:space="preserve">Corrected</t>
  </si>
  <si>
    <t xml:space="preserve">Note</t>
  </si>
  <si>
    <t xml:space="preserve">Levered IRR</t>
  </si>
  <si>
    <t xml:space="preserve">14.7%</t>
  </si>
  <si>
    <t xml:space="preserve">Up slightly - only the loan-payoff fix moves it (no commission added)</t>
  </si>
  <si>
    <t xml:space="preserve">Levered equity multiple</t>
  </si>
  <si>
    <t xml:space="preserve">1.95x</t>
  </si>
  <si>
    <t xml:space="preserve">Same driver</t>
  </si>
  <si>
    <t xml:space="preserve">Cash-on-cash (stabilized)</t>
  </si>
  <si>
    <t xml:space="preserve">2.1%</t>
  </si>
  <si>
    <t xml:space="preserve">Unchanged - operating-year metric</t>
  </si>
  <si>
    <t xml:space="preserve">Loan balance at payoff</t>
  </si>
  <si>
    <t xml:space="preserve">-$164,811</t>
  </si>
  <si>
    <t xml:space="preserve">Sign fix; now $0</t>
  </si>
  <si>
    <t xml:space="preserve">Project cost (summary block)</t>
  </si>
  <si>
    <t xml:space="preserve">$9,774,470</t>
  </si>
  <si>
    <t xml:space="preserve">Removed double-count; now ties to $5.33M</t>
  </si>
  <si>
    <t xml:space="preserve">LEGEND</t>
  </si>
  <si>
    <t xml:space="preserve">Corrected cell</t>
  </si>
  <si>
    <t xml:space="preserve">math changed - see the cell comment</t>
  </si>
  <si>
    <t xml:space="preserve">Flag / note</t>
  </si>
  <si>
    <t xml:space="preserve">not changed - confirm or decide</t>
  </si>
  <si>
    <t xml:space="preserve">Key assumption</t>
  </si>
  <si>
    <t xml:space="preserve">original author's input cells - left as-is</t>
  </si>
  <si>
    <t xml:space="preserve">CORRECTIONS (math fixed in this file)</t>
  </si>
  <si>
    <t xml:space="preserve">#</t>
  </si>
  <si>
    <t xml:space="preserve">Sheet</t>
  </si>
  <si>
    <t xml:space="preserve">Cell(s)</t>
  </si>
  <si>
    <t xml:space="preserve">Category</t>
  </si>
  <si>
    <t xml:space="preserve">What it was</t>
  </si>
  <si>
    <t xml:space="preserve">What it is now</t>
  </si>
  <si>
    <t xml:space="preserve">Why it matters</t>
  </si>
  <si>
    <t xml:space="preserve">1</t>
  </si>
  <si>
    <t xml:space="preserve">Annual</t>
  </si>
  <si>
    <t xml:space="preserve">J117:T117</t>
  </si>
  <si>
    <t xml:space="preserve">Loan payoff</t>
  </si>
  <si>
    <t xml:space="preserve">-X112+X116 over-repaid the loan by $164,811; ending balance was -$164,811.</t>
  </si>
  <si>
    <t xml:space="preserve">-(X112+X116); ending balance now $0.</t>
  </si>
  <si>
    <t xml:space="preserve">Sale-year cash flow was understated; corrects IRR/profit upward.</t>
  </si>
  <si>
    <t xml:space="preserve">2</t>
  </si>
  <si>
    <t xml:space="preserve">Summary</t>
  </si>
  <si>
    <t xml:space="preserve">AC10 / AC11</t>
  </si>
  <si>
    <t xml:space="preserve">Project-cost double count</t>
  </si>
  <si>
    <t xml:space="preserve">AC10 =SUM(L22:L37) included L31 (full dev-cost subtotal); cost showed $9.77M.</t>
  </si>
  <si>
    <t xml:space="preserve">Now SUM(L22:L30,L33:L38); now $5.33m, ties to l39.</t>
  </si>
  <si>
    <t xml:space="preserve">Fixes the Threshold Cashflow (AO9) built on a doubled cost.</t>
  </si>
  <si>
    <t xml:space="preserve">3</t>
  </si>
  <si>
    <t xml:space="preserve">M94, M95</t>
  </si>
  <si>
    <t xml:space="preserve">Broken reference</t>
  </si>
  <si>
    <t xml:space="preserve">M94 = REF-error (only live error). M95 summed ~130 empty columns.</t>
  </si>
  <si>
    <t xml:space="preserve">M94 =I94-I96, M95 =I96.</t>
  </si>
  <si>
    <t xml:space="preserve">Removes the workbook’s only hard error. Scratch block - verify or delete; real GP metrics are H92:I96.</t>
  </si>
  <si>
    <t xml:space="preserve">4</t>
  </si>
  <si>
    <t xml:space="preserve">K35:T35, K36:T36</t>
  </si>
  <si>
    <t xml:space="preserve">Latent broken refs</t>
  </si>
  <si>
    <t xml:space="preserve">Pointed to Summary REF-errors / wrong cells; harmless only because loan funds in year 0.</t>
  </si>
  <si>
    <t xml:space="preserve">Set to 0.</t>
  </si>
  <si>
    <t xml:space="preserve">Prevents garbage if a later-year draw is ever modeled. J35/J36 unchanged.</t>
  </si>
  <si>
    <t xml:space="preserve">5</t>
  </si>
  <si>
    <t xml:space="preserve">E26</t>
  </si>
  <si>
    <t xml:space="preserve">Cosmetic</t>
  </si>
  <si>
    <t xml:space="preserve">"Total Cost/SF" divided by the NNN rate -&gt; ~$3.6M/SF.</t>
  </si>
  <si>
    <t xml:space="preserve">Now E25/E5 -&gt; ~$444/sf.</t>
  </si>
  <si>
    <t xml:space="preserve">Display only.</t>
  </si>
  <si>
    <t xml:space="preserve">6</t>
  </si>
  <si>
    <t xml:space="preserve">F21</t>
  </si>
  <si>
    <t xml:space="preserve">"Breakeven Rent" showed -$29.19 (summed only cost lines).</t>
  </si>
  <si>
    <t xml:space="preserve">Negated -&gt; positive $/SF.</t>
  </si>
  <si>
    <t xml:space="preserve">FLAGS (no change made - confirm or decide)</t>
  </si>
  <si>
    <t xml:space="preserve">Where</t>
  </si>
  <si>
    <t xml:space="preserve">Topic</t>
  </si>
  <si>
    <t xml:space="preserve">Detail</t>
  </si>
  <si>
    <t xml:space="preserve">What to do</t>
  </si>
  <si>
    <t xml:space="preserve">A</t>
  </si>
  <si>
    <t xml:space="preserve">Summary S21 / V21</t>
  </si>
  <si>
    <t xml:space="preserve">Exit commission (7%)</t>
  </si>
  <si>
    <t xml:space="preserve">Intentionally NOT added to the project cash flow / IRR. A broker commission is a transaction cost, not a measure of deal quality (per the direction on Coyner). Only the 1.5% cost of sale flows into the project return.</t>
  </si>
  <si>
    <t xml:space="preserve">Confirm. If you want a take-home number, add a Net Proceeds tab (commission + loan payoff + taxes), like Coyner v8.</t>
  </si>
  <si>
    <t xml:space="preserve">B</t>
  </si>
  <si>
    <t xml:space="preserve">Workbook</t>
  </si>
  <si>
    <t xml:space="preserve">Orphan tabs removed</t>
  </si>
  <si>
    <t xml:space="preserve">Deleted LP GP, Allen and Lists - a separate ground-up "Pole Lot" development and leftover dropdown lists, not part of this deal. Nothing live referenced them.</t>
  </si>
  <si>
    <t xml:space="preserve">None needed. Say the word if you want them restored.</t>
  </si>
  <si>
    <t xml:space="preserve">C</t>
  </si>
  <si>
    <t xml:space="preserve">Summary L36/L37</t>
  </si>
  <si>
    <t xml:space="preserve">Circular reference</t>
  </si>
  <si>
    <t xml:space="preserve">Loan fees depend on total cost, which includes the fees. Resolves fine (iterative calc is on).</t>
  </si>
  <si>
    <t xml:space="preserve">Leave as-is; it warns only if that Excel setting is turned off.</t>
  </si>
  <si>
    <t xml:space="preserve">D</t>
  </si>
  <si>
    <t xml:space="preserve">NNN opex / recoveries</t>
  </si>
  <si>
    <t xml:space="preserve">No taxes/insurance/CAM modeled as expenses; recoveries computed off the mgmt fee only (same template simplification as Coyner).</t>
  </si>
  <si>
    <t xml:space="preserve">Confirm the simplification fits the deal.</t>
  </si>
  <si>
    <t xml:space="preserve">Note: the 7% commission was NOT added to the project IRR here (unlike the first Coyner pass), reflecting the later direction that commission belongs in a separate take-home rather than the deal return. Ask if you want it added instead.</t>
  </si>
  <si>
    <t xml:space="preserve">Property Name</t>
  </si>
  <si>
    <t xml:space="preserve">NEED TO TIGHEN UP THE COMMISSIONS AND CLOSING COSTS VS Equity CONTRIBUTIONS</t>
  </si>
  <si>
    <t xml:space="preserve">Project Summary</t>
  </si>
  <si>
    <t xml:space="preserve">Sources &amp; Uses</t>
  </si>
  <si>
    <t xml:space="preserve">Debt Financing</t>
  </si>
  <si>
    <t xml:space="preserve">Base Pro Forma</t>
  </si>
  <si>
    <t xml:space="preserve">Summary </t>
  </si>
  <si>
    <t xml:space="preserve">Site</t>
  </si>
  <si>
    <t xml:space="preserve">Building</t>
  </si>
  <si>
    <t xml:space="preserve">Sources</t>
  </si>
  <si>
    <t xml:space="preserve">Land Acres</t>
  </si>
  <si>
    <t xml:space="preserve"># of Buildings</t>
  </si>
  <si>
    <t xml:space="preserve">%</t>
  </si>
  <si>
    <t xml:space="preserve">$/RSF</t>
  </si>
  <si>
    <t xml:space="preserve">$ Total</t>
  </si>
  <si>
    <t xml:space="preserve">Total Loan</t>
  </si>
  <si>
    <t xml:space="preserve">Total</t>
  </si>
  <si>
    <t xml:space="preserve">Project Cost</t>
  </si>
  <si>
    <t xml:space="preserve">Proforma</t>
  </si>
  <si>
    <t xml:space="preserve">Results @ 100% Financing</t>
  </si>
  <si>
    <t xml:space="preserve">Land SF</t>
  </si>
  <si>
    <t xml:space="preserve">RSF</t>
  </si>
  <si>
    <t xml:space="preserve">Debt </t>
  </si>
  <si>
    <t xml:space="preserve">Loan Origination Fee</t>
  </si>
  <si>
    <t xml:space="preserve">Base Rent</t>
  </si>
  <si>
    <t xml:space="preserve">Purchase Price/Land Value</t>
  </si>
  <si>
    <t xml:space="preserve">Millions of project cost</t>
  </si>
  <si>
    <t xml:space="preserve">Equity</t>
  </si>
  <si>
    <t xml:space="preserve">Loan Closing Costs</t>
  </si>
  <si>
    <t xml:space="preserve">NNN Recoveries</t>
  </si>
  <si>
    <t xml:space="preserve">Hard Costs (i.e. Const, TI)</t>
  </si>
  <si>
    <t xml:space="preserve">Cash Needs Per Million</t>
  </si>
  <si>
    <t xml:space="preserve">Total Sources</t>
  </si>
  <si>
    <t xml:space="preserve">Net Proceeds</t>
  </si>
  <si>
    <t xml:space="preserve">General Vacancy</t>
  </si>
  <si>
    <t xml:space="preserve">Tenant Imp Allowance</t>
  </si>
  <si>
    <t xml:space="preserve">Threshold Cashflow</t>
  </si>
  <si>
    <t xml:space="preserve">Leasing Summary</t>
  </si>
  <si>
    <t xml:space="preserve"> </t>
  </si>
  <si>
    <t xml:space="preserve">OpEx/Property Mgmt Fee</t>
  </si>
  <si>
    <t xml:space="preserve">Soft Costs (Services, Comsn)</t>
  </si>
  <si>
    <t xml:space="preserve">@ 100% LTC</t>
  </si>
  <si>
    <t xml:space="preserve">Rent Inputs</t>
  </si>
  <si>
    <t xml:space="preserve">Uses</t>
  </si>
  <si>
    <t xml:space="preserve">Base Rate (Sofr; Libor)</t>
  </si>
  <si>
    <t xml:space="preserve">Net Operating Income</t>
  </si>
  <si>
    <t xml:space="preserve">Meets Threshold</t>
  </si>
  <si>
    <t xml:space="preserve">Sq. Ft.</t>
  </si>
  <si>
    <t xml:space="preserve">Land</t>
  </si>
  <si>
    <t xml:space="preserve">Spread</t>
  </si>
  <si>
    <t xml:space="preserve">Unit 1 </t>
  </si>
  <si>
    <t xml:space="preserve">Land Purchase/Value</t>
  </si>
  <si>
    <t xml:space="preserve">Interest Rate</t>
  </si>
  <si>
    <t xml:space="preserve">Asset Management Fee</t>
  </si>
  <si>
    <t xml:space="preserve">Cash on Cash </t>
  </si>
  <si>
    <t xml:space="preserve">At four years, change if needed</t>
  </si>
  <si>
    <t xml:space="preserve">Unit 2 </t>
  </si>
  <si>
    <t xml:space="preserve">Debt Service</t>
  </si>
  <si>
    <t xml:space="preserve">Financing</t>
  </si>
  <si>
    <t xml:space="preserve">Unit 3</t>
  </si>
  <si>
    <t xml:space="preserve">Hard Costs</t>
  </si>
  <si>
    <t xml:space="preserve">Term </t>
  </si>
  <si>
    <t xml:space="preserve">Net Cashflow</t>
  </si>
  <si>
    <t xml:space="preserve">Unit 4</t>
  </si>
  <si>
    <t xml:space="preserve">Site Work</t>
  </si>
  <si>
    <t xml:space="preserve">Amortization</t>
  </si>
  <si>
    <t xml:space="preserve">Unit 5</t>
  </si>
  <si>
    <t xml:space="preserve">Shell &amp; Core</t>
  </si>
  <si>
    <t xml:space="preserve">Total Rent</t>
  </si>
  <si>
    <t xml:space="preserve">Tennant Improvement Allowance</t>
  </si>
  <si>
    <t xml:space="preserve">Interest Only Period</t>
  </si>
  <si>
    <t xml:space="preserve">Disposition &amp; Returns (Pre-Tax)</t>
  </si>
  <si>
    <t xml:space="preserve">Landscaping</t>
  </si>
  <si>
    <t xml:space="preserve">Interest Only Payment</t>
  </si>
  <si>
    <t xml:space="preserve">Sale Date</t>
  </si>
  <si>
    <t xml:space="preserve">Weighted Average Base Rent</t>
  </si>
  <si>
    <t xml:space="preserve">Hard Cost Contingency</t>
  </si>
  <si>
    <t xml:space="preserve">Cost of Sale</t>
  </si>
  <si>
    <t xml:space="preserve">Debt Terms</t>
  </si>
  <si>
    <t xml:space="preserve">Breakeven Rent Rate</t>
  </si>
  <si>
    <t xml:space="preserve">Soft Costs</t>
  </si>
  <si>
    <t xml:space="preserve">Monthly Payment</t>
  </si>
  <si>
    <t xml:space="preserve">Exit Commissions (separate take-home, not in project IRR)</t>
  </si>
  <si>
    <t xml:space="preserve">Architechtural</t>
  </si>
  <si>
    <t xml:space="preserve">Annual Payment</t>
  </si>
  <si>
    <t xml:space="preserve">Exit Cap Rate</t>
  </si>
  <si>
    <t xml:space="preserve">Lease Term</t>
  </si>
  <si>
    <t xml:space="preserve">Engineering</t>
  </si>
  <si>
    <t xml:space="preserve">Escalation year</t>
  </si>
  <si>
    <t xml:space="preserve">Attorney Fees</t>
  </si>
  <si>
    <t xml:space="preserve">Escalation %</t>
  </si>
  <si>
    <t xml:space="preserve">Appraisal</t>
  </si>
  <si>
    <t xml:space="preserve">Partnership Assumptions</t>
  </si>
  <si>
    <t xml:space="preserve">FWD NOI @ Sale </t>
  </si>
  <si>
    <t xml:space="preserve">Lease Type</t>
  </si>
  <si>
    <t xml:space="preserve">NNN</t>
  </si>
  <si>
    <t xml:space="preserve">Environmental</t>
  </si>
  <si>
    <t xml:space="preserve">GP Partner Name</t>
  </si>
  <si>
    <t xml:space="preserve">GP</t>
  </si>
  <si>
    <t xml:space="preserve">Insurance</t>
  </si>
  <si>
    <t xml:space="preserve">Gross Sale Price</t>
  </si>
  <si>
    <t xml:space="preserve">General Vacanacy</t>
  </si>
  <si>
    <t xml:space="preserve">Utility Connect Fees</t>
  </si>
  <si>
    <t xml:space="preserve">LP Contribution Percentage</t>
  </si>
  <si>
    <t xml:space="preserve">Property Management Fee</t>
  </si>
  <si>
    <t xml:space="preserve">Permits and Fees</t>
  </si>
  <si>
    <t xml:space="preserve">GP Contribution Percentage</t>
  </si>
  <si>
    <t xml:space="preserve">Equity Value</t>
  </si>
  <si>
    <t xml:space="preserve">Soft Cost Contingency</t>
  </si>
  <si>
    <t xml:space="preserve">LP Contribution Amount</t>
  </si>
  <si>
    <t xml:space="preserve">Total Development Costs</t>
  </si>
  <si>
    <t xml:space="preserve">GP Contribution Amount</t>
  </si>
  <si>
    <t xml:space="preserve">Other Soft Costs</t>
  </si>
  <si>
    <t xml:space="preserve">Levered EM</t>
  </si>
  <si>
    <t xml:space="preserve">Key Assumptions</t>
  </si>
  <si>
    <t xml:space="preserve">Project Management during Construction</t>
  </si>
  <si>
    <t xml:space="preserve">GP Asset Management Fee</t>
  </si>
  <si>
    <t xml:space="preserve">Levered Net Profit</t>
  </si>
  <si>
    <t xml:space="preserve">Simple Preferred return (not compounded)</t>
  </si>
  <si>
    <t xml:space="preserve">Purchase Commissions (% of price)</t>
  </si>
  <si>
    <t xml:space="preserve">Stabilized Cash-on-Cash Return</t>
  </si>
  <si>
    <t xml:space="preserve">Undistributed returns accrue</t>
  </si>
  <si>
    <t xml:space="preserve">Leasing Commissions  (% of Term Rent)</t>
  </si>
  <si>
    <t xml:space="preserve">Equity Split prior to 1st Hurdle (pari passu)</t>
  </si>
  <si>
    <t xml:space="preserve">Stabilized Annual Cash Flows</t>
  </si>
  <si>
    <t xml:space="preserve">Cashflows remaining after pref return are distributed as promote</t>
  </si>
  <si>
    <t xml:space="preserve">LP</t>
  </si>
  <si>
    <t xml:space="preserve">Annual return on total equity</t>
  </si>
  <si>
    <t xml:space="preserve">If GP invests, their investment treated as LP investment</t>
  </si>
  <si>
    <t xml:space="preserve">LP IRR</t>
  </si>
  <si>
    <t xml:space="preserve">Origination fee/closing costs/commissions/interest costsduring int-only period included in loan</t>
  </si>
  <si>
    <t xml:space="preserve">Interest during IO period</t>
  </si>
  <si>
    <t xml:space="preserve">First Hurdle &amp; Promote</t>
  </si>
  <si>
    <t xml:space="preserve">LP Equity Multiple</t>
  </si>
  <si>
    <t xml:space="preserve">Loan closing costs include legal fees, title insurance, appraisals, recording fees</t>
  </si>
  <si>
    <t xml:space="preserve">Total Project Costs </t>
  </si>
  <si>
    <t xml:space="preserve">Investor Preferred Annaul Return - 3rd Hurdle</t>
  </si>
  <si>
    <t xml:space="preserve">LP Net Profit</t>
  </si>
  <si>
    <t xml:space="preserve">Promote after 3rd Hurdle</t>
  </si>
  <si>
    <t xml:space="preserve">LP Peak Capital</t>
  </si>
  <si>
    <t xml:space="preserve">GP IRR</t>
  </si>
  <si>
    <t xml:space="preserve">GP Equity Multiple</t>
  </si>
  <si>
    <t xml:space="preserve">GP Net Profit</t>
  </si>
  <si>
    <t xml:space="preserve">Rebuild to match JV-Waterfall-Model-Catch-Up-v2.2_Awesome in modeling folder</t>
  </si>
  <si>
    <t xml:space="preserve">GP Peak Capital</t>
  </si>
  <si>
    <t xml:space="preserve">GP Promote</t>
  </si>
  <si>
    <t xml:space="preserve">$20k per M</t>
  </si>
  <si>
    <t xml:space="preserve">Threshold cash</t>
  </si>
  <si>
    <t xml:space="preserve">@ 100% financing</t>
  </si>
  <si>
    <t xml:space="preserve">Sale price</t>
  </si>
  <si>
    <t xml:space="preserve">Commission</t>
  </si>
  <si>
    <t xml:space="preserve">Gain</t>
  </si>
  <si>
    <t xml:space="preserve">Taxes</t>
  </si>
  <si>
    <t xml:space="preserve">Cash</t>
  </si>
  <si>
    <t xml:space="preserve">Retail Assumptions</t>
  </si>
  <si>
    <t xml:space="preserve">Analysis Year</t>
  </si>
  <si>
    <t xml:space="preserve">Analysis Month</t>
  </si>
  <si>
    <t xml:space="preserve">Total Rentable Square Feet</t>
  </si>
  <si>
    <t xml:space="preserve">Avg Market Rent (Today)</t>
  </si>
  <si>
    <t xml:space="preserve">DEVELOPMENT COSTS</t>
  </si>
  <si>
    <t xml:space="preserve">Rent Escalation Year</t>
  </si>
  <si>
    <t xml:space="preserve">Rent Escalation Percentage</t>
  </si>
  <si>
    <t xml:space="preserve">Market Rent /SF</t>
  </si>
  <si>
    <t xml:space="preserve">Rent</t>
  </si>
  <si>
    <t xml:space="preserve">$/SF/Yr.</t>
  </si>
  <si>
    <t xml:space="preserve">Total $</t>
  </si>
  <si>
    <t xml:space="preserve">RETAIL CASH FLOW</t>
  </si>
  <si>
    <t xml:space="preserve">Base Rent (NNN)</t>
  </si>
  <si>
    <t xml:space="preserve">Effective Rent</t>
  </si>
  <si>
    <t xml:space="preserve">Retail NOI</t>
  </si>
  <si>
    <t xml:space="preserve">Net Operating Income (Retail)</t>
  </si>
  <si>
    <t xml:space="preserve">Retail Net Income</t>
  </si>
  <si>
    <t xml:space="preserve">Acquisition Inputs</t>
  </si>
  <si>
    <t xml:space="preserve">Land/Building Acquisition Cost</t>
  </si>
  <si>
    <t xml:space="preserve">Hard Cost</t>
  </si>
  <si>
    <t xml:space="preserve">Unlevered CF</t>
  </si>
  <si>
    <t xml:space="preserve">Cumulative Unlevered CF</t>
  </si>
  <si>
    <t xml:space="preserve">Total Project Cost</t>
  </si>
  <si>
    <t xml:space="preserve">Total Cost / Sq Ft.</t>
  </si>
  <si>
    <t xml:space="preserve">Unlevered IRR</t>
  </si>
  <si>
    <t xml:space="preserve">Unlevered EM</t>
  </si>
  <si>
    <t xml:space="preserve">Debt Inputs</t>
  </si>
  <si>
    <t xml:space="preserve">Unlevered Net Profit</t>
  </si>
  <si>
    <t xml:space="preserve">Loan-to-Value</t>
  </si>
  <si>
    <t xml:space="preserve">Unlevered Peak Capital</t>
  </si>
  <si>
    <t xml:space="preserve">Principle</t>
  </si>
  <si>
    <t xml:space="preserve">USD</t>
  </si>
  <si>
    <t xml:space="preserve">LEVERED ANALYSIS</t>
  </si>
  <si>
    <t xml:space="preserve">Term</t>
  </si>
  <si>
    <t xml:space="preserve">Amortization (Years)</t>
  </si>
  <si>
    <t xml:space="preserve">Permanent Loan Funding</t>
  </si>
  <si>
    <t xml:space="preserve">Equity Capital Contribution</t>
  </si>
  <si>
    <t xml:space="preserve">Amortization Payment</t>
  </si>
  <si>
    <t xml:space="preserve">Repayment</t>
  </si>
  <si>
    <t xml:space="preserve">Does not Include the soft costs because</t>
  </si>
  <si>
    <t xml:space="preserve">Levered FCF</t>
  </si>
  <si>
    <t xml:space="preserve">All soft Costs in year 1 net out to zero due to loan funding and equity contribution</t>
  </si>
  <si>
    <t xml:space="preserve">Cumulative Levered CF</t>
  </si>
  <si>
    <t xml:space="preserve">Levered Peak Capital</t>
  </si>
  <si>
    <t xml:space="preserve">At four years Change if needed</t>
  </si>
  <si>
    <t xml:space="preserve">Levered Free Cash Flow</t>
  </si>
  <si>
    <t xml:space="preserve">Alternative Structure earns 8% on accrued preference (i.e. Compounded)</t>
  </si>
  <si>
    <t xml:space="preserve">PARTNERSHIP RETURNS</t>
  </si>
  <si>
    <t xml:space="preserve">Preference Distributions - 1 Tier</t>
  </si>
  <si>
    <t xml:space="preserve">Beginning Balance</t>
  </si>
  <si>
    <t xml:space="preserve">Assumes excess cash is disributed for as promote</t>
  </si>
  <si>
    <t xml:space="preserve">Annual Preferrence (Simple - % of Equity Capital)</t>
  </si>
  <si>
    <t xml:space="preserve">Preferrence (Contributions)/Distributions</t>
  </si>
  <si>
    <t xml:space="preserve">Accrued/Unpaid preferrence balance</t>
  </si>
  <si>
    <t xml:space="preserve">Remaining Cash Flow after preferrence distribution</t>
  </si>
  <si>
    <t xml:space="preserve">Total Distribution</t>
  </si>
  <si>
    <t xml:space="preserve">Ending Balance</t>
  </si>
  <si>
    <t xml:space="preserve">Promote - 2nd Tier</t>
  </si>
  <si>
    <t xml:space="preserve">Investors (includes GP if invested)</t>
  </si>
  <si>
    <t xml:space="preserve">Promote Partner</t>
  </si>
  <si>
    <t xml:space="preserve">LP CASH FLOWS</t>
  </si>
  <si>
    <t xml:space="preserve">GP/LP Split - 2nd Tier</t>
  </si>
  <si>
    <t xml:space="preserve">LP Cash Flows</t>
  </si>
  <si>
    <t xml:space="preserve">Cumulative LP Cash Flows</t>
  </si>
  <si>
    <t xml:space="preserve">GP CASH FLOWS</t>
  </si>
  <si>
    <t xml:space="preserve">GP Cash Flows</t>
  </si>
  <si>
    <t xml:space="preserve">Cumulative GP Cash Flows</t>
  </si>
  <si>
    <t xml:space="preserve">IRR</t>
  </si>
  <si>
    <t xml:space="preserve">Return of Capital</t>
  </si>
  <si>
    <t xml:space="preserve">Return on Capital</t>
  </si>
  <si>
    <t xml:space="preserve">Promote</t>
  </si>
  <si>
    <t xml:space="preserve">Multiple</t>
  </si>
  <si>
    <t xml:space="preserve">Total Economic Value</t>
  </si>
  <si>
    <t xml:space="preserve">Distribution Check</t>
  </si>
  <si>
    <t xml:space="preserve">partnership distribution checl</t>
  </si>
  <si>
    <t xml:space="preserve">Capital Tracker - Permanent Loan</t>
  </si>
  <si>
    <t xml:space="preserve">Initial Funding</t>
  </si>
  <si>
    <t xml:space="preserve">Payment</t>
  </si>
  <si>
    <t xml:space="preserve">Interest </t>
  </si>
  <si>
    <t xml:space="preserve">Principal</t>
  </si>
  <si>
    <t xml:space="preserve">Repayment @ Sale</t>
  </si>
  <si>
    <t xml:space="preserve">6968 SEMINOLE TRAIL — Goodwill Build-to-Suit (RETAIL ONLY)</t>
  </si>
  <si>
    <t xml:space="preserve">Ruckersville (Greene County), VA | Parcels 66-A-45 &amp; 66-A-46 | Self-storage removed — see Phase 2 note. Blue = input.</t>
  </si>
  <si>
    <t xml:space="preserve">SITE &amp; LAND</t>
  </si>
  <si>
    <t xml:space="preserve">Land Cost (total)</t>
  </si>
  <si>
    <t xml:space="preserve">   Broker asking ($/acre)</t>
  </si>
  <si>
    <t xml:space="preserve">   Assemblage acreage (survey)</t>
  </si>
  <si>
    <t xml:space="preserve">   Implied land at asking (full site)</t>
  </si>
  <si>
    <t xml:space="preserve">   2023 assessed value (66-A-46)</t>
  </si>
  <si>
    <t xml:space="preserve">   Implied land $/acre (at land cost)</t>
  </si>
  <si>
    <t xml:space="preserve">   Zoning: currently R-1/R-2 — requires B-3 rezoning</t>
  </si>
  <si>
    <t xml:space="preserve">RETAIL PAD  (Goodwill build-to-suit)</t>
  </si>
  <si>
    <t xml:space="preserve">Retail Size (SF)</t>
  </si>
  <si>
    <t xml:space="preserve">Retail Rent ($/SF/yr, NNN)</t>
  </si>
  <si>
    <t xml:space="preserve">Retail Construction Cost ($/SF)</t>
  </si>
  <si>
    <t xml:space="preserve">Retail Vacancy / credit loss (%)</t>
  </si>
  <si>
    <t xml:space="preserve">Soft Cost (% of construction)</t>
  </si>
  <si>
    <t xml:space="preserve">FINANCING</t>
  </si>
  <si>
    <t xml:space="preserve">Loan-to-Cost (LTC)</t>
  </si>
  <si>
    <t xml:space="preserve">Amortization (years)</t>
  </si>
  <si>
    <t xml:space="preserve">Hold Period (years)</t>
  </si>
  <si>
    <t xml:space="preserve">EXIT</t>
  </si>
  <si>
    <t xml:space="preserve">Cost of Sale (%)</t>
  </si>
  <si>
    <t xml:space="preserve">USES</t>
  </si>
  <si>
    <t xml:space="preserve">Retail Construction</t>
  </si>
  <si>
    <t xml:space="preserve">Hard Cost Subtotal</t>
  </si>
  <si>
    <t xml:space="preserve">SOURCES</t>
  </si>
  <si>
    <t xml:space="preserve">Debt (LTC)</t>
  </si>
  <si>
    <t xml:space="preserve">Check (Sources = Uses)</t>
  </si>
  <si>
    <t xml:space="preserve">PHASE 2 (OPTIONAL — NOT IN THESE ECONOMICS)</t>
  </si>
  <si>
    <t xml:space="preserve">Self-storage could be added on the rear land in a later phase. Reference-only figures below; excluded from all totals.</t>
  </si>
  <si>
    <t xml:space="preserve">   Ref: Storage Gross SF</t>
  </si>
  <si>
    <t xml:space="preserve">   Ref: Storage Cost ($/SF)</t>
  </si>
  <si>
    <t xml:space="preserve">   Ref: Storage Rent ($/SF net rentable)</t>
  </si>
  <si>
    <t xml:space="preserve">6968 SEMINOLE TRAIL — NOI &amp; Returns (Goodwill BTS, RETAIL ONLY, stabilized)</t>
  </si>
  <si>
    <t xml:space="preserve">RETAIL (Goodwill BTS, NNN)</t>
  </si>
  <si>
    <t xml:space="preserve">Potential Rent</t>
  </si>
  <si>
    <t xml:space="preserve">Less: Vacancy / credit loss</t>
  </si>
  <si>
    <t xml:space="preserve">TOTAL</t>
  </si>
  <si>
    <t xml:space="preserve">Total Stabilized NOI</t>
  </si>
  <si>
    <t xml:space="preserve">DEVELOPMENT RETURN</t>
  </si>
  <si>
    <t xml:space="preserve">Yield on Cost</t>
  </si>
  <si>
    <t xml:space="preserve">Development Spread</t>
  </si>
  <si>
    <t xml:space="preserve">EXIT / PROFIT</t>
  </si>
  <si>
    <t xml:space="preserve">Exit Value (NOI / Exit Cap)</t>
  </si>
  <si>
    <t xml:space="preserve">Less: Cost of Sale</t>
  </si>
  <si>
    <t xml:space="preserve">Net Sale Value</t>
  </si>
  <si>
    <t xml:space="preserve">Development Profit (net)</t>
  </si>
  <si>
    <t xml:space="preserve">Profit Margin on Cost</t>
  </si>
  <si>
    <t xml:space="preserve">FINANCING &amp; CASH FLOW</t>
  </si>
  <si>
    <t xml:space="preserve">Loan Amount</t>
  </si>
  <si>
    <t xml:space="preserve">Annual Debt Service</t>
  </si>
  <si>
    <t xml:space="preserve">DSCR</t>
  </si>
  <si>
    <t xml:space="preserve">Stabilized Cash Flow (after DS)</t>
  </si>
  <si>
    <t xml:space="preserve">Cash-on-Cash</t>
  </si>
  <si>
    <t xml:space="preserve">DEBT SCHEDULE (annual)</t>
  </si>
  <si>
    <t xml:space="preserve">Year</t>
  </si>
  <si>
    <t xml:space="preserve">Beg Balance</t>
  </si>
  <si>
    <t xml:space="preserve">Interest</t>
  </si>
  <si>
    <t xml:space="preserve">End Balance</t>
  </si>
  <si>
    <t xml:space="preserve">Loan Balance at Exit</t>
  </si>
  <si>
    <t xml:space="preserve">LEVERED RETURN (stabilized hold)</t>
  </si>
  <si>
    <t xml:space="preserve">Net Sale Proceeds to Equity</t>
  </si>
  <si>
    <t xml:space="preserve">Levered Cash Flows</t>
  </si>
  <si>
    <t xml:space="preserve">Equity Multiple</t>
  </si>
  <si>
    <t xml:space="preserve">LAND-BASIS SENSITIVITY  (retail-only)</t>
  </si>
  <si>
    <t xml:space="preserve">Land Cost</t>
  </si>
  <si>
    <t xml:space="preserve">Dev Spread</t>
  </si>
  <si>
    <t xml:space="preserve">NOTES (this deal):</t>
  </si>
  <si>
    <t xml:space="preserve">- Retail-only: Goodwill BTS pad only. Self-storage removed from all economics (optional Phase 2).</t>
  </si>
  <si>
    <t xml:space="preserve">- Full $1.25M whole-site land basis retained (owner will not subdivide). Land is the swing factor — see sensitivity.</t>
  </si>
  <si>
    <t xml:space="preserve">- Contingent on R-1/R-2 -&gt; B-3 rezoning. Stabilized returns; no construction-draw/lease-up timeline modeled.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</si>
</sst>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_(* #,##0.00_);_(* \(#,##0.00\);_(* \-??_);_(@_)"/>
    <numFmt numFmtId="166" formatCode="#,##0_);\(#,##0\)"/>
    <numFmt numFmtId="167" formatCode="0%"/>
    <numFmt numFmtId="168" formatCode="0.0%"/>
    <numFmt numFmtId="169" formatCode="0.00\x"/>
    <numFmt numFmtId="170" formatCode="\$#,##0"/>
    <numFmt numFmtId="171" formatCode="[$-409]mmm\-yy;@"/>
    <numFmt numFmtId="172" formatCode="#,##0.00"/>
    <numFmt numFmtId="173" formatCode="&quot;Month &quot;0"/>
    <numFmt numFmtId="174" formatCode="#,##0.0"/>
    <numFmt numFmtId="175" formatCode="#,##0.00%_);\(#,##0.00%\)"/>
    <numFmt numFmtId="176" formatCode="\$#,##0_);&quot;($&quot;#,##0\)"/>
    <numFmt numFmtId="177" formatCode="#,##0"/>
    <numFmt numFmtId="178" formatCode="0.00%"/>
    <numFmt numFmtId="179" formatCode="\$#,##0.00_);&quot;($&quot;#,##0.00\)"/>
    <numFmt numFmtId="180" formatCode="#,##0.00_);\(#,##0.00\)"/>
    <numFmt numFmtId="181" formatCode="#,##0.0_);\(#,##0.0\)"/>
    <numFmt numFmtId="182" formatCode="0&quot; Years&quot;"/>
    <numFmt numFmtId="183" formatCode="&quot;Year &quot;0"/>
    <numFmt numFmtId="184" formatCode="\$#,##0.0000_);&quot;($&quot;#,##0.0000\)"/>
    <numFmt numFmtId="185" formatCode="#0.0%_);\(#0.0%\)"/>
    <numFmt numFmtId="186" formatCode="@"/>
    <numFmt numFmtId="187" formatCode="#,##0.00\x"/>
    <numFmt numFmtId="188" formatCode="* #,##0_);_(* \(#,##0\);_(* \-??_);_(@_)"/>
    <numFmt numFmtId="189" formatCode="_(* #,##0.0_);_(* \(#,##0.0\);_(* \-??_);_(@_)"/>
    <numFmt numFmtId="190" formatCode="\$#,##0.00"/>
    <numFmt numFmtId="191" formatCode="#0.00\x"/>
    <numFmt numFmtId="192" formatCode="#0.0\x"/>
    <numFmt numFmtId="193" formatCode="\$#,##0"/>
    <numFmt numFmtId="194" formatCode="0.00"/>
    <numFmt numFmtId="195" formatCode="0.00\x"/>
  </numFmts>
  <fonts count="6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Book Antiqua"/>
      <family val="2"/>
      <charset val="1"/>
    </font>
    <font>
      <sz val="10"/>
      <name val="Arial"/>
      <family val="2"/>
      <charset val="1"/>
    </font>
    <font>
      <sz val="10"/>
      <name val="Book Antiqua"/>
      <family val="1"/>
      <charset val="1"/>
    </font>
    <font>
      <b val="true"/>
      <sz val="15"/>
      <color rgb="FFFFFFFF"/>
      <name val="Book Antiqua"/>
      <family val="0"/>
      <charset val="1"/>
    </font>
    <font>
      <i val="true"/>
      <sz val="10"/>
      <color rgb="FF000000"/>
      <name val="Book Antiqua"/>
      <family val="0"/>
      <charset val="1"/>
    </font>
    <font>
      <b val="true"/>
      <sz val="11"/>
      <color rgb="FF000000"/>
      <name val="Book Antiqua"/>
      <family val="0"/>
      <charset val="1"/>
    </font>
    <font>
      <sz val="11"/>
      <color rgb="FF000000"/>
      <name val="Book Antiqua"/>
      <family val="0"/>
      <charset val="1"/>
    </font>
    <font>
      <b val="true"/>
      <sz val="11"/>
      <name val="Book Antiqua"/>
      <family val="0"/>
      <charset val="1"/>
    </font>
    <font>
      <sz val="10"/>
      <color rgb="FF000000"/>
      <name val="Book Antiqua"/>
      <family val="0"/>
      <charset val="1"/>
    </font>
    <font>
      <b val="true"/>
      <sz val="12"/>
      <color rgb="FFFFFFFF"/>
      <name val="Book Antiqua"/>
      <family val="0"/>
      <charset val="1"/>
    </font>
    <font>
      <b val="true"/>
      <sz val="10"/>
      <color rgb="FFFFFFFF"/>
      <name val="Book Antiqua"/>
      <family val="0"/>
      <charset val="1"/>
    </font>
    <font>
      <b val="true"/>
      <sz val="11"/>
      <color rgb="FFFFFFFF"/>
      <name val="Book Antiqua"/>
      <family val="0"/>
      <charset val="1"/>
    </font>
    <font>
      <b val="true"/>
      <sz val="10"/>
      <color rgb="FF000000"/>
      <name val="Book Antiqua"/>
      <family val="0"/>
      <charset val="1"/>
    </font>
    <font>
      <sz val="11"/>
      <color theme="1"/>
      <name val="Book Antiqua"/>
      <family val="1"/>
      <charset val="1"/>
    </font>
    <font>
      <b val="true"/>
      <sz val="15"/>
      <color theme="1"/>
      <name val="Book Antiqua"/>
      <family val="1"/>
      <charset val="1"/>
    </font>
    <font>
      <sz val="15"/>
      <color theme="1"/>
      <name val="Book Antiqua"/>
      <family val="1"/>
      <charset val="1"/>
    </font>
    <font>
      <sz val="11"/>
      <name val="Book Antiqua"/>
      <family val="1"/>
      <charset val="1"/>
    </font>
    <font>
      <sz val="11"/>
      <color rgb="FFFF0000"/>
      <name val="Book Antiqua"/>
      <family val="1"/>
      <charset val="1"/>
    </font>
    <font>
      <b val="true"/>
      <sz val="11"/>
      <color rgb="FFFFFFFF"/>
      <name val="Book Antiqua"/>
      <family val="1"/>
      <charset val="1"/>
    </font>
    <font>
      <sz val="11"/>
      <color rgb="FFFFFFFF"/>
      <name val="Book Antiqua"/>
      <family val="1"/>
      <charset val="1"/>
    </font>
    <font>
      <b val="true"/>
      <sz val="14"/>
      <color rgb="FFFFFFFF"/>
      <name val="Book Antiqua"/>
      <family val="1"/>
      <charset val="1"/>
    </font>
    <font>
      <b val="true"/>
      <u val="single"/>
      <sz val="11"/>
      <color theme="1"/>
      <name val="Book Antiqua"/>
      <family val="1"/>
      <charset val="1"/>
    </font>
    <font>
      <sz val="11"/>
      <color rgb="FF0000FF"/>
      <name val="Book Antiqua"/>
      <family val="1"/>
      <charset val="1"/>
    </font>
    <font>
      <u val="single"/>
      <sz val="11"/>
      <color theme="1"/>
      <name val="Book Antiqua"/>
      <family val="1"/>
      <charset val="1"/>
    </font>
    <font>
      <b val="true"/>
      <u val="single"/>
      <sz val="12"/>
      <name val="Book Antiqua"/>
      <family val="1"/>
      <charset val="1"/>
    </font>
    <font>
      <sz val="11"/>
      <color rgb="FF7030A0"/>
      <name val="Book Antiqua"/>
      <family val="1"/>
      <charset val="1"/>
    </font>
    <font>
      <sz val="11"/>
      <color rgb="FF800080"/>
      <name val="Book Antiqua"/>
      <family val="1"/>
      <charset val="1"/>
    </font>
    <font>
      <sz val="11"/>
      <color rgb="FFC00000"/>
      <name val="Book Antiqua"/>
      <family val="1"/>
      <charset val="1"/>
    </font>
    <font>
      <sz val="11"/>
      <color rgb="FF008000"/>
      <name val="Book Antiqua"/>
      <family val="1"/>
      <charset val="1"/>
    </font>
    <font>
      <sz val="11"/>
      <color theme="0" tint="-0.5"/>
      <name val="Book Antiqua"/>
      <family val="1"/>
      <charset val="1"/>
    </font>
    <font>
      <b val="true"/>
      <sz val="11"/>
      <color theme="1"/>
      <name val="Book Antiqua"/>
      <family val="1"/>
      <charset val="1"/>
    </font>
    <font>
      <sz val="11"/>
      <color rgb="FF0070C0"/>
      <name val="Book Antiqua"/>
      <family val="1"/>
      <charset val="1"/>
    </font>
    <font>
      <sz val="11"/>
      <color rgb="FF000000"/>
      <name val="Book Antiqua"/>
      <family val="1"/>
      <charset val="1"/>
    </font>
    <font>
      <b val="true"/>
      <u val="single"/>
      <sz val="12"/>
      <color theme="1"/>
      <name val="Book Antiqua"/>
      <family val="1"/>
      <charset val="1"/>
    </font>
    <font>
      <b val="true"/>
      <sz val="11"/>
      <name val="Book Antiqua"/>
      <family val="1"/>
      <charset val="1"/>
    </font>
    <font>
      <b val="true"/>
      <i val="true"/>
      <sz val="11"/>
      <color theme="1"/>
      <name val="Book Antiqua"/>
      <family val="1"/>
      <charset val="1"/>
    </font>
    <font>
      <b val="true"/>
      <i val="true"/>
      <sz val="11"/>
      <name val="Book Antiqua"/>
      <family val="1"/>
      <charset val="1"/>
    </font>
    <font>
      <i val="true"/>
      <sz val="11"/>
      <name val="Book Antiqua"/>
      <family val="1"/>
      <charset val="1"/>
    </font>
    <font>
      <b val="true"/>
      <sz val="10"/>
      <color rgb="FFFFFFFF"/>
      <name val="Book Antiqua"/>
      <family val="1"/>
      <charset val="1"/>
    </font>
    <font>
      <sz val="10"/>
      <color rgb="FF0000FF"/>
      <name val="Book Antiqua"/>
      <family val="1"/>
      <charset val="1"/>
    </font>
    <font>
      <sz val="10"/>
      <color rgb="FF000000"/>
      <name val="Book Antiqua"/>
      <family val="1"/>
      <charset val="1"/>
    </font>
    <font>
      <b val="true"/>
      <sz val="11"/>
      <color rgb="FF0000FF"/>
      <name val="Book Antiqua"/>
      <family val="1"/>
      <charset val="1"/>
    </font>
    <font>
      <b val="true"/>
      <sz val="11"/>
      <color rgb="FF000000"/>
      <name val="Book Antiqua"/>
      <family val="1"/>
      <charset val="1"/>
    </font>
    <font>
      <u val="single"/>
      <sz val="11"/>
      <name val="Book Antiqua"/>
      <family val="1"/>
      <charset val="1"/>
    </font>
    <font>
      <u val="single"/>
      <sz val="10"/>
      <name val="Book Antiqua"/>
      <family val="1"/>
      <charset val="1"/>
    </font>
    <font>
      <i val="true"/>
      <sz val="11"/>
      <color rgb="FF0000FF"/>
      <name val="Book Antiqua"/>
      <family val="1"/>
      <charset val="1"/>
    </font>
    <font>
      <sz val="10"/>
      <color rgb="FF800080"/>
      <name val="Book Antiqua"/>
      <family val="1"/>
      <charset val="1"/>
    </font>
    <font>
      <b val="true"/>
      <sz val="10"/>
      <name val="Book Antiqua"/>
      <family val="1"/>
      <charset val="1"/>
    </font>
    <font>
      <u val="single"/>
      <sz val="10"/>
      <color rgb="FF000000"/>
      <name val="Book Antiqua"/>
      <family val="1"/>
      <charset val="1"/>
    </font>
    <font>
      <sz val="10"/>
      <name val="Arial"/>
      <family val="2"/>
    </font>
    <font>
      <b val="true"/>
      <sz val="11"/>
      <color theme="0"/>
      <name val="Book Antiqua"/>
      <family val="1"/>
      <charset val="1"/>
    </font>
    <font>
      <sz val="11"/>
      <color theme="0"/>
      <name val="Book Antiqua"/>
      <family val="1"/>
      <charset val="1"/>
    </font>
    <font>
      <i val="true"/>
      <sz val="11"/>
      <color theme="1"/>
      <name val="Book Antiqua"/>
      <family val="1"/>
      <charset val="1"/>
    </font>
    <font>
      <sz val="10"/>
      <color theme="1"/>
      <name val="Book Antiqua"/>
      <family val="1"/>
      <charset val="1"/>
    </font>
    <font>
      <b val="true"/>
      <sz val="11"/>
      <color rgb="FFFF0000"/>
      <name val="Book Antiqua"/>
      <family val="1"/>
      <charset val="1"/>
    </font>
    <font>
      <sz val="10"/>
      <color rgb="FF7030A0"/>
      <name val="Book Antiqua"/>
      <family val="1"/>
      <charset val="1"/>
    </font>
    <font>
      <sz val="10"/>
      <color rgb="FF008000"/>
      <name val="Book Antiqua"/>
      <family val="1"/>
      <charset val="1"/>
    </font>
    <font>
      <i val="true"/>
      <sz val="10"/>
      <name val="Book Antiqua"/>
      <family val="1"/>
      <charset val="1"/>
    </font>
    <font>
      <b val="true"/>
      <i val="true"/>
      <sz val="11"/>
      <name val="Calibri"/>
      <family val="2"/>
      <charset val="1"/>
    </font>
    <font>
      <sz val="10"/>
      <color rgb="FFFFFFFF"/>
      <name val="Book Antiqua"/>
      <family val="1"/>
      <charset val="1"/>
    </font>
    <font>
      <b val="true"/>
      <sz val="10"/>
      <color theme="1"/>
      <name val="Book Antiqua"/>
      <family val="1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D9E1F2"/>
        <bgColor rgb="FFDEEBF7"/>
      </patternFill>
    </fill>
    <fill>
      <patternFill patternType="solid">
        <fgColor rgb="FFC6E0B4"/>
        <bgColor rgb="FFC5E0B4"/>
      </patternFill>
    </fill>
    <fill>
      <patternFill patternType="solid">
        <fgColor rgb="FFFCE4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4" tint="-0.25"/>
        <bgColor rgb="FF1F4E78"/>
      </patternFill>
    </fill>
    <fill>
      <patternFill patternType="solid">
        <fgColor theme="8" tint="0.7999"/>
        <bgColor rgb="FFD9E1F2"/>
      </patternFill>
    </fill>
    <fill>
      <patternFill patternType="solid">
        <fgColor theme="9" tint="0.5999"/>
        <bgColor rgb="FFC6E0B4"/>
      </patternFill>
    </fill>
    <fill>
      <patternFill patternType="solid">
        <fgColor theme="7" tint="0.7999"/>
        <bgColor rgb="FFFBE5D6"/>
      </patternFill>
    </fill>
    <fill>
      <patternFill patternType="solid">
        <fgColor theme="0"/>
        <bgColor rgb="FFEDEDED"/>
      </patternFill>
    </fill>
    <fill>
      <patternFill patternType="solid">
        <fgColor theme="5" tint="0.7999"/>
        <bgColor rgb="FFFCE4D6"/>
      </patternFill>
    </fill>
    <fill>
      <patternFill patternType="solid">
        <fgColor rgb="FF000080"/>
        <bgColor rgb="FF000080"/>
      </patternFill>
    </fill>
    <fill>
      <patternFill patternType="solid">
        <fgColor theme="6" tint="0.7999"/>
        <bgColor rgb="FFE7E6E6"/>
      </patternFill>
    </fill>
    <fill>
      <patternFill patternType="solid">
        <fgColor theme="4" tint="0.5999"/>
        <bgColor rgb="FFBFBFBF"/>
      </patternFill>
    </fill>
    <fill>
      <patternFill patternType="solid">
        <fgColor theme="3"/>
        <bgColor rgb="FF2F5597"/>
      </patternFill>
    </fill>
    <fill>
      <patternFill patternType="solid">
        <fgColor theme="0" tint="-0.15"/>
        <bgColor rgb="FFD9E1F2"/>
      </patternFill>
    </fill>
    <fill>
      <patternFill patternType="solid">
        <fgColor theme="2"/>
        <bgColor rgb="FFEDEDED"/>
      </patternFill>
    </fill>
    <fill>
      <patternFill patternType="solid">
        <fgColor rgb="FF1F4D2B"/>
        <bgColor rgb="FF1F4E7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dashed"/>
      <right style="dashed"/>
      <top style="dashed"/>
      <bottom style="dashed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9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9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1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1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1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36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7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4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1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7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4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4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4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32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4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5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9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9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2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8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8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3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3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5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5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5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4" fillId="1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4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57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44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4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4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_Club Palisades Model v50" xfId="22"/>
    <cellStyle name="Normal_HIA 5-Year Projections 040520" xfId="23"/>
    <cellStyle name="Normal_Palm Valley Model v51" xfId="24"/>
    <cellStyle name="Normal_Westchester- Model KP" xfId="25"/>
    <cellStyle name="Percent 2" xfId="26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7030A0"/>
      <rgbColor rgb="FFFFF2CC"/>
      <rgbColor rgb="FFDEEBF7"/>
      <rgbColor rgb="FF660066"/>
      <rgbColor rgb="FFFF8080"/>
      <rgbColor rgb="FF0070C0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BE5D6"/>
      <rgbColor rgb="FFC5E0B4"/>
      <rgbColor rgb="FFD9E1F2"/>
      <rgbColor rgb="FFD9D9D9"/>
      <rgbColor rgb="FFFCE4D6"/>
      <rgbColor rgb="FF2F5597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1F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externalLink" Target="externalLinks/externalLink3.xml"/><Relationship Id="rId11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REFinInv/Ex20_8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D:/REFinInv/Finance/10th%20edition/Chapters/Chapter%2019%20templates/cmo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D:/REFinInv/Finance/10th%20edition/Chapters/Chapter%2019%20templates/IO-P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CREIF &amp; S&amp;P"/>
      <sheetName val="REITs &amp; S&amp;P"/>
      <sheetName val="A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REITs &amp; S&amp;P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40"/>
    <col collapsed="false" customWidth="true" hidden="false" outlineLevel="0" max="7" min="7" style="1" width="4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B5" s="4" t="s">
        <v>3</v>
      </c>
      <c r="C5" s="5" t="s">
        <v>4</v>
      </c>
      <c r="D5" s="5" t="s">
        <v>5</v>
      </c>
      <c r="E5" s="4" t="s">
        <v>6</v>
      </c>
      <c r="F5" s="4"/>
      <c r="G5" s="4"/>
    </row>
    <row r="6" customFormat="false" ht="15" hidden="false" customHeight="true" outlineLevel="0" collapsed="false">
      <c r="B6" s="6" t="s">
        <v>7</v>
      </c>
      <c r="C6" s="7" t="s">
        <v>8</v>
      </c>
      <c r="D6" s="8" t="n">
        <f aca="false">Annual!J46</f>
        <v>0.167153092551542</v>
      </c>
      <c r="E6" s="9" t="s">
        <v>9</v>
      </c>
      <c r="F6" s="9"/>
      <c r="G6" s="9"/>
    </row>
    <row r="7" customFormat="false" ht="27.75" hidden="false" customHeight="true" outlineLevel="0" collapsed="false">
      <c r="B7" s="6" t="s">
        <v>10</v>
      </c>
      <c r="C7" s="7" t="s">
        <v>11</v>
      </c>
      <c r="D7" s="10" t="n">
        <f aca="false">Annual!J47</f>
        <v>2.12100498518833</v>
      </c>
      <c r="E7" s="9" t="s">
        <v>12</v>
      </c>
      <c r="F7" s="9"/>
      <c r="G7" s="9"/>
    </row>
    <row r="8" customFormat="false" ht="27.75" hidden="false" customHeight="true" outlineLevel="0" collapsed="false">
      <c r="B8" s="6" t="s">
        <v>13</v>
      </c>
      <c r="C8" s="7" t="s">
        <v>14</v>
      </c>
      <c r="D8" s="8" t="n">
        <f aca="false">Annual!J50</f>
        <v>0.0227274163721757</v>
      </c>
      <c r="E8" s="9" t="s">
        <v>15</v>
      </c>
      <c r="F8" s="9"/>
      <c r="G8" s="9"/>
    </row>
    <row r="9" customFormat="false" ht="27.75" hidden="false" customHeight="true" outlineLevel="0" collapsed="false">
      <c r="B9" s="6" t="s">
        <v>16</v>
      </c>
      <c r="C9" s="7" t="s">
        <v>17</v>
      </c>
      <c r="D9" s="11" t="n">
        <f aca="false">Annual!O118</f>
        <v>0</v>
      </c>
      <c r="E9" s="9" t="s">
        <v>18</v>
      </c>
      <c r="F9" s="9"/>
      <c r="G9" s="9"/>
    </row>
    <row r="10" customFormat="false" ht="41.25" hidden="false" customHeight="true" outlineLevel="0" collapsed="false">
      <c r="B10" s="6" t="s">
        <v>19</v>
      </c>
      <c r="C10" s="7" t="s">
        <v>20</v>
      </c>
      <c r="D10" s="11" t="n">
        <f aca="false">Summary!AC11</f>
        <v>5289604.75</v>
      </c>
      <c r="E10" s="9" t="s">
        <v>21</v>
      </c>
      <c r="F10" s="9"/>
      <c r="G10" s="9"/>
    </row>
    <row r="12" customFormat="false" ht="15" hidden="false" customHeight="true" outlineLevel="0" collapsed="false">
      <c r="A12" s="4" t="s">
        <v>22</v>
      </c>
      <c r="B12" s="4"/>
      <c r="C12" s="4"/>
      <c r="D12" s="4"/>
      <c r="E12" s="4"/>
      <c r="F12" s="4"/>
      <c r="G12" s="4"/>
    </row>
    <row r="13" customFormat="false" ht="15" hidden="false" customHeight="true" outlineLevel="0" collapsed="false">
      <c r="B13" s="12" t="s">
        <v>23</v>
      </c>
      <c r="C13" s="9" t="s">
        <v>24</v>
      </c>
      <c r="D13" s="9"/>
      <c r="E13" s="9"/>
      <c r="F13" s="9"/>
      <c r="G13" s="9"/>
    </row>
    <row r="14" customFormat="false" ht="15" hidden="false" customHeight="true" outlineLevel="0" collapsed="false">
      <c r="B14" s="13" t="s">
        <v>25</v>
      </c>
      <c r="C14" s="9" t="s">
        <v>26</v>
      </c>
      <c r="D14" s="9"/>
      <c r="E14" s="9"/>
      <c r="F14" s="9"/>
      <c r="G14" s="9"/>
    </row>
    <row r="15" customFormat="false" ht="27.75" hidden="false" customHeight="true" outlineLevel="0" collapsed="false">
      <c r="B15" s="14" t="s">
        <v>27</v>
      </c>
      <c r="C15" s="9" t="s">
        <v>28</v>
      </c>
      <c r="D15" s="9"/>
      <c r="E15" s="9"/>
      <c r="F15" s="9"/>
      <c r="G15" s="9"/>
    </row>
    <row r="17" customFormat="false" ht="15" hidden="false" customHeight="true" outlineLevel="0" collapsed="false">
      <c r="A17" s="15" t="s">
        <v>29</v>
      </c>
      <c r="B17" s="15"/>
      <c r="C17" s="15"/>
      <c r="D17" s="15"/>
      <c r="E17" s="15"/>
      <c r="F17" s="15"/>
      <c r="G17" s="15"/>
    </row>
    <row r="18" customFormat="false" ht="15" hidden="false" customHeight="true" outlineLevel="0" collapsed="false">
      <c r="A18" s="16" t="s">
        <v>30</v>
      </c>
      <c r="B18" s="16" t="s">
        <v>31</v>
      </c>
      <c r="C18" s="16" t="s">
        <v>32</v>
      </c>
      <c r="D18" s="16" t="s">
        <v>33</v>
      </c>
      <c r="E18" s="16" t="s">
        <v>34</v>
      </c>
      <c r="F18" s="16" t="s">
        <v>35</v>
      </c>
      <c r="G18" s="16" t="s">
        <v>36</v>
      </c>
    </row>
    <row r="19" customFormat="false" ht="43.5" hidden="false" customHeight="true" outlineLevel="0" collapsed="false">
      <c r="A19" s="17" t="s">
        <v>37</v>
      </c>
      <c r="B19" s="9" t="s">
        <v>38</v>
      </c>
      <c r="C19" s="9" t="s">
        <v>39</v>
      </c>
      <c r="D19" s="9" t="s">
        <v>40</v>
      </c>
      <c r="E19" s="9" t="s">
        <v>41</v>
      </c>
      <c r="F19" s="9" t="s">
        <v>42</v>
      </c>
      <c r="G19" s="9" t="s">
        <v>43</v>
      </c>
    </row>
    <row r="20" customFormat="false" ht="43.5" hidden="false" customHeight="true" outlineLevel="0" collapsed="false">
      <c r="A20" s="17" t="s">
        <v>44</v>
      </c>
      <c r="B20" s="9" t="s">
        <v>45</v>
      </c>
      <c r="C20" s="9" t="s">
        <v>46</v>
      </c>
      <c r="D20" s="9" t="s">
        <v>47</v>
      </c>
      <c r="E20" s="9" t="s">
        <v>48</v>
      </c>
      <c r="F20" s="9" t="s">
        <v>49</v>
      </c>
      <c r="G20" s="9" t="s">
        <v>50</v>
      </c>
    </row>
    <row r="21" customFormat="false" ht="43.5" hidden="false" customHeight="true" outlineLevel="0" collapsed="false">
      <c r="A21" s="17" t="s">
        <v>51</v>
      </c>
      <c r="B21" s="9" t="s">
        <v>38</v>
      </c>
      <c r="C21" s="9" t="s">
        <v>52</v>
      </c>
      <c r="D21" s="9" t="s">
        <v>53</v>
      </c>
      <c r="E21" s="9" t="s">
        <v>54</v>
      </c>
      <c r="F21" s="9" t="s">
        <v>55</v>
      </c>
      <c r="G21" s="9" t="s">
        <v>56</v>
      </c>
    </row>
    <row r="22" customFormat="false" ht="43.5" hidden="false" customHeight="true" outlineLevel="0" collapsed="false">
      <c r="A22" s="17" t="s">
        <v>57</v>
      </c>
      <c r="B22" s="9" t="s">
        <v>38</v>
      </c>
      <c r="C22" s="9" t="s">
        <v>58</v>
      </c>
      <c r="D22" s="9" t="s">
        <v>59</v>
      </c>
      <c r="E22" s="9" t="s">
        <v>60</v>
      </c>
      <c r="F22" s="9" t="s">
        <v>61</v>
      </c>
      <c r="G22" s="9" t="s">
        <v>62</v>
      </c>
    </row>
    <row r="23" customFormat="false" ht="43.5" hidden="false" customHeight="true" outlineLevel="0" collapsed="false">
      <c r="A23" s="17" t="s">
        <v>63</v>
      </c>
      <c r="B23" s="9" t="s">
        <v>38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</row>
    <row r="24" customFormat="false" ht="43.5" hidden="false" customHeight="true" outlineLevel="0" collapsed="false">
      <c r="A24" s="17" t="s">
        <v>69</v>
      </c>
      <c r="B24" s="9" t="s">
        <v>45</v>
      </c>
      <c r="C24" s="9" t="s">
        <v>70</v>
      </c>
      <c r="D24" s="9" t="s">
        <v>65</v>
      </c>
      <c r="E24" s="9" t="s">
        <v>71</v>
      </c>
      <c r="F24" s="9" t="s">
        <v>72</v>
      </c>
      <c r="G24" s="9" t="s">
        <v>68</v>
      </c>
    </row>
    <row r="26" customFormat="false" ht="15" hidden="false" customHeight="true" outlineLevel="0" collapsed="false">
      <c r="A26" s="15" t="s">
        <v>73</v>
      </c>
      <c r="B26" s="15"/>
      <c r="C26" s="15"/>
      <c r="D26" s="15"/>
      <c r="E26" s="15"/>
      <c r="F26" s="15"/>
      <c r="G26" s="15"/>
    </row>
    <row r="27" customFormat="false" ht="15" hidden="false" customHeight="true" outlineLevel="0" collapsed="false">
      <c r="A27" s="16" t="s">
        <v>30</v>
      </c>
      <c r="B27" s="16" t="s">
        <v>74</v>
      </c>
      <c r="C27" s="16"/>
      <c r="D27" s="16" t="s">
        <v>75</v>
      </c>
      <c r="E27" s="16" t="s">
        <v>76</v>
      </c>
      <c r="F27" s="16"/>
      <c r="G27" s="16" t="s">
        <v>77</v>
      </c>
    </row>
    <row r="28" customFormat="false" ht="15" hidden="false" customHeight="true" outlineLevel="0" collapsed="false">
      <c r="A28" s="18"/>
      <c r="B28" s="19" t="s">
        <v>74</v>
      </c>
      <c r="C28" s="19"/>
      <c r="D28" s="19" t="s">
        <v>75</v>
      </c>
      <c r="E28" s="19" t="s">
        <v>76</v>
      </c>
      <c r="F28" s="19"/>
      <c r="G28" s="19" t="s">
        <v>77</v>
      </c>
    </row>
    <row r="29" customFormat="false" ht="57.75" hidden="false" customHeight="true" outlineLevel="0" collapsed="false">
      <c r="A29" s="20" t="s">
        <v>78</v>
      </c>
      <c r="B29" s="9" t="s">
        <v>79</v>
      </c>
      <c r="C29" s="9"/>
      <c r="D29" s="21" t="s">
        <v>80</v>
      </c>
      <c r="E29" s="9" t="s">
        <v>81</v>
      </c>
      <c r="F29" s="9"/>
      <c r="G29" s="9" t="s">
        <v>82</v>
      </c>
    </row>
    <row r="30" customFormat="false" ht="57.75" hidden="false" customHeight="true" outlineLevel="0" collapsed="false">
      <c r="A30" s="20" t="s">
        <v>83</v>
      </c>
      <c r="B30" s="9" t="s">
        <v>84</v>
      </c>
      <c r="C30" s="9"/>
      <c r="D30" s="21" t="s">
        <v>85</v>
      </c>
      <c r="E30" s="9" t="s">
        <v>86</v>
      </c>
      <c r="F30" s="9"/>
      <c r="G30" s="9" t="s">
        <v>87</v>
      </c>
    </row>
    <row r="31" customFormat="false" ht="57.75" hidden="false" customHeight="true" outlineLevel="0" collapsed="false">
      <c r="A31" s="20" t="s">
        <v>88</v>
      </c>
      <c r="B31" s="9" t="s">
        <v>89</v>
      </c>
      <c r="C31" s="9"/>
      <c r="D31" s="21" t="s">
        <v>90</v>
      </c>
      <c r="E31" s="9" t="s">
        <v>91</v>
      </c>
      <c r="F31" s="9"/>
      <c r="G31" s="9" t="s">
        <v>92</v>
      </c>
    </row>
    <row r="32" customFormat="false" ht="57.75" hidden="false" customHeight="true" outlineLevel="0" collapsed="false">
      <c r="A32" s="20" t="s">
        <v>93</v>
      </c>
      <c r="B32" s="9" t="s">
        <v>38</v>
      </c>
      <c r="C32" s="9"/>
      <c r="D32" s="21" t="s">
        <v>94</v>
      </c>
      <c r="E32" s="9" t="s">
        <v>95</v>
      </c>
      <c r="F32" s="9"/>
      <c r="G32" s="9" t="s">
        <v>96</v>
      </c>
    </row>
    <row r="34" customFormat="false" ht="42" hidden="false" customHeight="true" outlineLevel="0" collapsed="false">
      <c r="A34" s="3" t="s">
        <v>97</v>
      </c>
      <c r="B34" s="3"/>
      <c r="C34" s="3"/>
      <c r="D34" s="3"/>
      <c r="E34" s="3"/>
      <c r="F34" s="3"/>
      <c r="G34" s="3"/>
    </row>
  </sheetData>
  <mergeCells count="26">
    <mergeCell ref="A1:G1"/>
    <mergeCell ref="A2:G2"/>
    <mergeCell ref="A4:G4"/>
    <mergeCell ref="E5:G5"/>
    <mergeCell ref="E6:G6"/>
    <mergeCell ref="E7:G7"/>
    <mergeCell ref="E8:G8"/>
    <mergeCell ref="E9:G9"/>
    <mergeCell ref="E10:G10"/>
    <mergeCell ref="A12:G12"/>
    <mergeCell ref="C13:G13"/>
    <mergeCell ref="C14:G14"/>
    <mergeCell ref="C15:G15"/>
    <mergeCell ref="A17:G17"/>
    <mergeCell ref="A26:G26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6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39" activeCellId="0" sqref="O39"/>
    </sheetView>
  </sheetViews>
  <sheetFormatPr defaultColWidth="8.265625" defaultRowHeight="14.25" zeroHeight="false" outlineLevelRow="0" outlineLevelCol="0"/>
  <cols>
    <col collapsed="false" customWidth="true" hidden="false" outlineLevel="0" max="1" min="1" style="22" width="1.53"/>
    <col collapsed="false" customWidth="true" hidden="false" outlineLevel="0" max="2" min="2" style="22" width="20.93"/>
    <col collapsed="false" customWidth="true" hidden="false" outlineLevel="0" max="3" min="3" style="22" width="17.61"/>
    <col collapsed="false" customWidth="true" hidden="false" outlineLevel="0" max="4" min="4" style="22" width="9.6"/>
    <col collapsed="false" customWidth="true" hidden="false" outlineLevel="0" max="5" min="5" style="22" width="13.2"/>
    <col collapsed="false" customWidth="true" hidden="false" outlineLevel="0" max="6" min="6" style="22" width="18.87"/>
    <col collapsed="false" customWidth="true" hidden="false" outlineLevel="0" max="7" min="7" style="22" width="1.53"/>
    <col collapsed="false" customWidth="true" hidden="false" outlineLevel="0" max="8" min="8" style="22" width="24.47"/>
    <col collapsed="false" customWidth="true" hidden="false" outlineLevel="0" max="9" min="9" style="22" width="17.61"/>
    <col collapsed="false" customWidth="true" hidden="false" outlineLevel="0" max="10" min="10" style="22" width="8.34"/>
    <col collapsed="false" customWidth="true" hidden="false" outlineLevel="0" max="11" min="11" style="22" width="13.2"/>
    <col collapsed="false" customWidth="true" hidden="false" outlineLevel="0" max="12" min="12" style="22" width="17.79"/>
    <col collapsed="false" customWidth="true" hidden="false" outlineLevel="0" max="13" min="13" style="22" width="1.53"/>
    <col collapsed="false" customWidth="true" hidden="false" outlineLevel="0" max="15" min="14" style="22" width="17.61"/>
    <col collapsed="false" customWidth="true" hidden="false" outlineLevel="0" max="16" min="16" style="22" width="9.6"/>
    <col collapsed="false" customWidth="true" hidden="false" outlineLevel="0" max="17" min="17" style="22" width="12.33"/>
    <col collapsed="false" customWidth="true" hidden="false" outlineLevel="0" max="18" min="18" style="22" width="1.53"/>
    <col collapsed="false" customWidth="true" hidden="false" outlineLevel="0" max="19" min="19" style="22" width="25.58"/>
    <col collapsed="false" customWidth="true" hidden="false" outlineLevel="0" max="22" min="20" style="22" width="17.61"/>
    <col collapsed="false" customWidth="true" hidden="false" outlineLevel="0" max="24" min="23" style="22" width="1.58"/>
    <col collapsed="false" customWidth="true" hidden="false" outlineLevel="0" max="25" min="25" style="22" width="1.47"/>
    <col collapsed="false" customWidth="true" hidden="false" outlineLevel="0" max="26" min="26" style="22" width="2"/>
    <col collapsed="false" customWidth="true" hidden="false" outlineLevel="0" max="27" min="27" style="22" width="1.33"/>
    <col collapsed="false" customWidth="true" hidden="false" outlineLevel="0" max="28" min="28" style="22" width="27.61"/>
    <col collapsed="false" customWidth="true" hidden="false" outlineLevel="0" max="29" min="29" style="22" width="11"/>
    <col collapsed="false" customWidth="true" hidden="false" outlineLevel="0" max="30" min="30" style="22" width="5.79"/>
    <col collapsed="false" customWidth="true" hidden="false" outlineLevel="0" max="33" min="31" style="22" width="1.33"/>
    <col collapsed="false" customWidth="true" hidden="false" outlineLevel="0" max="34" min="34" style="22" width="25.58"/>
    <col collapsed="false" customWidth="true" hidden="false" outlineLevel="0" max="35" min="35" style="22" width="10.06"/>
    <col collapsed="false" customWidth="true" hidden="false" outlineLevel="0" max="36" min="36" style="22" width="7.33"/>
    <col collapsed="false" customWidth="true" hidden="false" outlineLevel="0" max="39" min="37" style="22" width="1.33"/>
    <col collapsed="false" customWidth="true" hidden="false" outlineLevel="0" max="40" min="40" style="22" width="25.58"/>
    <col collapsed="false" customWidth="true" hidden="false" outlineLevel="0" max="41" min="41" style="22" width="12.26"/>
    <col collapsed="false" customWidth="true" hidden="false" outlineLevel="0" max="42" min="42" style="22" width="1.33"/>
    <col collapsed="false" customWidth="true" hidden="false" outlineLevel="0" max="43" min="43" style="22" width="2"/>
    <col collapsed="false" customWidth="true" hidden="false" outlineLevel="0" max="44" min="44" style="22" width="2.26"/>
    <col collapsed="false" customWidth="false" hidden="false" outlineLevel="0" max="16384" min="45" style="22" width="8.26"/>
  </cols>
  <sheetData>
    <row r="1" customFormat="false" ht="19.5" hidden="false" customHeight="true" outlineLevel="0" collapsed="false">
      <c r="A1" s="23" t="s">
        <v>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5"/>
      <c r="U1" s="24"/>
      <c r="V1" s="24"/>
      <c r="W1" s="24"/>
      <c r="X1" s="25"/>
    </row>
    <row r="2" customFormat="false" ht="19.5" hidden="false" customHeight="true" outlineLevel="0" collapsed="false">
      <c r="A2" s="26" t="str">
        <f aca="true">MID(CELL("filename",A1),FIND("]",CELL("filename",A1))+1,256)</f>
        <v>Summary</v>
      </c>
      <c r="B2" s="25"/>
      <c r="C2" s="25"/>
      <c r="D2" s="25"/>
      <c r="E2" s="25"/>
      <c r="F2" s="25"/>
      <c r="G2" s="25"/>
      <c r="H2" s="25"/>
      <c r="I2" s="25" t="s">
        <v>99</v>
      </c>
      <c r="J2" s="25"/>
      <c r="K2" s="25"/>
      <c r="L2" s="25"/>
      <c r="M2" s="25"/>
      <c r="N2" s="25"/>
      <c r="O2" s="25"/>
      <c r="P2" s="25"/>
      <c r="Q2" s="25"/>
      <c r="R2" s="25"/>
      <c r="S2" s="27"/>
      <c r="T2" s="27"/>
      <c r="U2" s="25"/>
      <c r="V2" s="25"/>
      <c r="W2" s="25"/>
      <c r="X2" s="25"/>
    </row>
    <row r="3" customFormat="false" ht="14.25" hidden="false" customHeight="true" outlineLevel="0" collapsed="false">
      <c r="P3" s="28"/>
      <c r="S3" s="29"/>
    </row>
    <row r="4" customFormat="false" ht="14.25" hidden="false" customHeight="true" outlineLevel="0" collapsed="false">
      <c r="B4" s="30" t="s">
        <v>100</v>
      </c>
      <c r="C4" s="31"/>
      <c r="D4" s="31"/>
      <c r="E4" s="31"/>
      <c r="F4" s="32"/>
      <c r="H4" s="33" t="s">
        <v>101</v>
      </c>
      <c r="I4" s="34"/>
      <c r="J4" s="35"/>
      <c r="K4" s="35"/>
      <c r="L4" s="36"/>
      <c r="N4" s="33" t="s">
        <v>102</v>
      </c>
      <c r="O4" s="33"/>
      <c r="P4" s="33"/>
      <c r="Q4" s="37"/>
      <c r="S4" s="38" t="s">
        <v>103</v>
      </c>
      <c r="T4" s="39"/>
      <c r="U4" s="39"/>
      <c r="V4" s="40"/>
      <c r="W4" s="41"/>
      <c r="X4" s="41"/>
      <c r="Z4" s="42" t="s">
        <v>104</v>
      </c>
      <c r="AA4" s="43"/>
      <c r="AB4" s="44"/>
      <c r="AC4" s="44"/>
      <c r="AD4" s="44"/>
      <c r="AE4" s="44"/>
      <c r="AF4" s="44"/>
      <c r="AG4" s="44"/>
      <c r="AH4" s="45"/>
      <c r="AI4" s="45"/>
      <c r="AJ4" s="45"/>
      <c r="AK4" s="45"/>
      <c r="AL4" s="45"/>
      <c r="AM4" s="45"/>
      <c r="AN4" s="45"/>
      <c r="AO4" s="45"/>
      <c r="AP4" s="46"/>
      <c r="AQ4" s="47"/>
    </row>
    <row r="5" customFormat="false" ht="14.25" hidden="false" customHeight="true" outlineLevel="0" collapsed="false">
      <c r="B5" s="48" t="s">
        <v>105</v>
      </c>
      <c r="C5" s="49"/>
      <c r="E5" s="49" t="s">
        <v>106</v>
      </c>
      <c r="F5" s="50"/>
      <c r="H5" s="51" t="s">
        <v>107</v>
      </c>
      <c r="I5" s="52"/>
      <c r="K5" s="53"/>
      <c r="L5" s="54"/>
      <c r="N5" s="55"/>
      <c r="Q5" s="56"/>
      <c r="S5" s="57"/>
      <c r="T5" s="58"/>
      <c r="U5" s="58"/>
      <c r="V5" s="59"/>
      <c r="Z5" s="57"/>
      <c r="AA5" s="60"/>
      <c r="AB5" s="60"/>
      <c r="AC5" s="60"/>
      <c r="AD5" s="60"/>
      <c r="AE5" s="60"/>
      <c r="AF5" s="60"/>
      <c r="AG5" s="60"/>
      <c r="AH5" s="61"/>
      <c r="AI5" s="62"/>
      <c r="AJ5" s="62"/>
      <c r="AK5" s="62"/>
      <c r="AL5" s="62"/>
      <c r="AM5" s="62"/>
      <c r="AN5" s="62"/>
      <c r="AQ5" s="63"/>
    </row>
    <row r="6" customFormat="false" ht="14.25" hidden="false" customHeight="true" outlineLevel="0" collapsed="false">
      <c r="B6" s="55" t="s">
        <v>108</v>
      </c>
      <c r="C6" s="64" t="n">
        <v>1</v>
      </c>
      <c r="E6" s="22" t="s">
        <v>109</v>
      </c>
      <c r="F6" s="65" t="n">
        <v>1</v>
      </c>
      <c r="H6" s="51"/>
      <c r="I6" s="52"/>
      <c r="J6" s="66" t="s">
        <v>110</v>
      </c>
      <c r="K6" s="67" t="s">
        <v>111</v>
      </c>
      <c r="L6" s="68" t="s">
        <v>112</v>
      </c>
      <c r="N6" s="57" t="s">
        <v>113</v>
      </c>
      <c r="O6" s="60"/>
      <c r="P6" s="69" t="n">
        <v>0.75</v>
      </c>
      <c r="Q6" s="70" t="n">
        <f aca="false">L39*P6</f>
        <v>3967203.5625</v>
      </c>
      <c r="S6" s="57"/>
      <c r="T6" s="58"/>
      <c r="U6" s="67" t="s">
        <v>111</v>
      </c>
      <c r="V6" s="68" t="s">
        <v>114</v>
      </c>
      <c r="Z6" s="57"/>
      <c r="AA6" s="71"/>
      <c r="AB6" s="72" t="s">
        <v>115</v>
      </c>
      <c r="AC6" s="61"/>
      <c r="AD6" s="61"/>
      <c r="AE6" s="73"/>
      <c r="AF6" s="60"/>
      <c r="AG6" s="71"/>
      <c r="AH6" s="72" t="s">
        <v>116</v>
      </c>
      <c r="AI6" s="74" t="s">
        <v>114</v>
      </c>
      <c r="AJ6" s="75" t="s">
        <v>111</v>
      </c>
      <c r="AK6" s="67"/>
      <c r="AL6" s="67"/>
      <c r="AM6" s="76"/>
      <c r="AN6" s="72" t="s">
        <v>117</v>
      </c>
      <c r="AO6" s="77"/>
      <c r="AP6" s="78"/>
      <c r="AQ6" s="63"/>
    </row>
    <row r="7" customFormat="false" ht="14.25" hidden="false" customHeight="true" outlineLevel="0" collapsed="false">
      <c r="B7" s="55" t="s">
        <v>118</v>
      </c>
      <c r="C7" s="79" t="n">
        <v>0</v>
      </c>
      <c r="E7" s="22" t="s">
        <v>119</v>
      </c>
      <c r="F7" s="80" t="n">
        <f aca="false">D18</f>
        <v>12000</v>
      </c>
      <c r="H7" s="81" t="s">
        <v>120</v>
      </c>
      <c r="I7" s="82"/>
      <c r="J7" s="83" t="n">
        <f aca="false">+L7/$L$39</f>
        <v>0.75</v>
      </c>
      <c r="K7" s="84" t="n">
        <f aca="false">L7/$F$7</f>
        <v>330.600296875</v>
      </c>
      <c r="L7" s="85" t="n">
        <f aca="false">Q6</f>
        <v>3967203.5625</v>
      </c>
      <c r="N7" s="55" t="s">
        <v>121</v>
      </c>
      <c r="P7" s="86" t="n">
        <v>0.01</v>
      </c>
      <c r="Q7" s="87" t="n">
        <f aca="false">P7*Q6</f>
        <v>39672.035625</v>
      </c>
      <c r="S7" s="88" t="s">
        <v>122</v>
      </c>
      <c r="T7" s="60"/>
      <c r="U7" s="89" t="n">
        <f aca="false">V7/F7</f>
        <v>30</v>
      </c>
      <c r="V7" s="70" t="n">
        <f aca="false">F18</f>
        <v>360000</v>
      </c>
      <c r="Z7" s="88"/>
      <c r="AA7" s="88"/>
      <c r="AB7" s="90" t="s">
        <v>123</v>
      </c>
      <c r="AC7" s="91" t="n">
        <f aca="false">L13</f>
        <v>2000000</v>
      </c>
      <c r="AD7" s="90"/>
      <c r="AE7" s="92"/>
      <c r="AF7" s="90"/>
      <c r="AG7" s="88"/>
      <c r="AH7" s="90" t="s">
        <v>122</v>
      </c>
      <c r="AI7" s="93" t="n">
        <f aca="false">V7</f>
        <v>360000</v>
      </c>
      <c r="AJ7" s="94" t="n">
        <f aca="false">U7</f>
        <v>30</v>
      </c>
      <c r="AK7" s="91"/>
      <c r="AL7" s="91"/>
      <c r="AM7" s="95"/>
      <c r="AN7" s="96" t="s">
        <v>124</v>
      </c>
      <c r="AO7" s="97" t="n">
        <f aca="false">AC11/1000000</f>
        <v>5.28960475</v>
      </c>
      <c r="AP7" s="98"/>
      <c r="AQ7" s="98"/>
    </row>
    <row r="8" customFormat="false" ht="14.25" hidden="false" customHeight="true" outlineLevel="0" collapsed="false">
      <c r="B8" s="99"/>
      <c r="C8" s="100"/>
      <c r="D8" s="100"/>
      <c r="E8" s="100"/>
      <c r="F8" s="101"/>
      <c r="H8" s="81" t="s">
        <v>125</v>
      </c>
      <c r="I8" s="82"/>
      <c r="J8" s="83" t="n">
        <f aca="false">+L8/$L$39</f>
        <v>0.25</v>
      </c>
      <c r="K8" s="84" t="n">
        <f aca="false">L8/$F$7</f>
        <v>110.200098958333</v>
      </c>
      <c r="L8" s="102" t="n">
        <f aca="false">L39-L7</f>
        <v>1322401.1875</v>
      </c>
      <c r="N8" s="55" t="s">
        <v>126</v>
      </c>
      <c r="P8" s="86" t="n">
        <v>0.0075</v>
      </c>
      <c r="Q8" s="87" t="n">
        <f aca="false">-P8*Q6</f>
        <v>-29754.02671875</v>
      </c>
      <c r="S8" s="88" t="s">
        <v>127</v>
      </c>
      <c r="U8" s="91"/>
      <c r="V8" s="103" t="n">
        <f aca="false">Annual!K12</f>
        <v>17952.7559055118</v>
      </c>
      <c r="Z8" s="88"/>
      <c r="AA8" s="88"/>
      <c r="AB8" s="90" t="s">
        <v>128</v>
      </c>
      <c r="AC8" s="91" t="n">
        <f aca="false">SUM(L16:L17,L19:L20)</f>
        <v>2550000</v>
      </c>
      <c r="AD8" s="90"/>
      <c r="AE8" s="92"/>
      <c r="AF8" s="90"/>
      <c r="AG8" s="88"/>
      <c r="AH8" s="90" t="s">
        <v>127</v>
      </c>
      <c r="AI8" s="104" t="n">
        <f aca="false">V8</f>
        <v>17952.7559055118</v>
      </c>
      <c r="AJ8" s="103"/>
      <c r="AK8" s="105"/>
      <c r="AL8" s="105"/>
      <c r="AM8" s="106"/>
      <c r="AN8" s="96" t="s">
        <v>129</v>
      </c>
      <c r="AO8" s="91" t="n">
        <v>20000</v>
      </c>
      <c r="AP8" s="70"/>
      <c r="AQ8" s="70"/>
    </row>
    <row r="9" customFormat="false" ht="14.25" hidden="false" customHeight="true" outlineLevel="0" collapsed="false">
      <c r="H9" s="107" t="s">
        <v>130</v>
      </c>
      <c r="I9" s="108"/>
      <c r="J9" s="53"/>
      <c r="K9" s="109" t="n">
        <f aca="false">L9/$F$7</f>
        <v>440.800395833333</v>
      </c>
      <c r="L9" s="110" t="n">
        <f aca="false">SUM(L7:L8)</f>
        <v>5289604.75</v>
      </c>
      <c r="N9" s="111" t="s">
        <v>131</v>
      </c>
      <c r="Q9" s="112" t="n">
        <f aca="false">SUM(Q6:Q8)</f>
        <v>3977121.57140625</v>
      </c>
      <c r="S9" s="88" t="s">
        <v>132</v>
      </c>
      <c r="U9" s="91"/>
      <c r="V9" s="103" t="n">
        <f aca="false">Annual!K13</f>
        <v>-0</v>
      </c>
      <c r="Z9" s="88"/>
      <c r="AA9" s="88"/>
      <c r="AB9" s="90" t="s">
        <v>133</v>
      </c>
      <c r="AC9" s="91" t="n">
        <f aca="false">L18</f>
        <v>100000</v>
      </c>
      <c r="AD9" s="90"/>
      <c r="AE9" s="92"/>
      <c r="AF9" s="90"/>
      <c r="AG9" s="88"/>
      <c r="AH9" s="90" t="s">
        <v>132</v>
      </c>
      <c r="AI9" s="104" t="n">
        <f aca="false">V9</f>
        <v>-0</v>
      </c>
      <c r="AJ9" s="103"/>
      <c r="AK9" s="105"/>
      <c r="AL9" s="105"/>
      <c r="AM9" s="106"/>
      <c r="AN9" s="96" t="s">
        <v>134</v>
      </c>
      <c r="AO9" s="113" t="n">
        <f aca="false">AO7*AO8</f>
        <v>105792.095</v>
      </c>
      <c r="AP9" s="70"/>
      <c r="AQ9" s="70"/>
    </row>
    <row r="10" customFormat="false" ht="14.25" hidden="false" customHeight="true" outlineLevel="0" collapsed="false">
      <c r="B10" s="33" t="s">
        <v>135</v>
      </c>
      <c r="C10" s="34"/>
      <c r="D10" s="35"/>
      <c r="E10" s="114"/>
      <c r="F10" s="115"/>
      <c r="H10" s="55"/>
      <c r="J10" s="53"/>
      <c r="K10" s="84"/>
      <c r="L10" s="56"/>
      <c r="N10" s="55" t="s">
        <v>136</v>
      </c>
      <c r="Q10" s="63"/>
      <c r="S10" s="88" t="s">
        <v>137</v>
      </c>
      <c r="U10" s="91"/>
      <c r="V10" s="103" t="n">
        <f aca="false">Annual!K15</f>
        <v>-18897.6377952755</v>
      </c>
      <c r="Z10" s="88"/>
      <c r="AA10" s="88"/>
      <c r="AB10" s="90" t="s">
        <v>138</v>
      </c>
      <c r="AC10" s="116" t="n">
        <f aca="false">SUM(L22:L30,L33:L38)</f>
        <v>639604.75</v>
      </c>
      <c r="AD10" s="90"/>
      <c r="AE10" s="92"/>
      <c r="AF10" s="90"/>
      <c r="AG10" s="88"/>
      <c r="AH10" s="90" t="s">
        <v>137</v>
      </c>
      <c r="AI10" s="117" t="n">
        <f aca="false">V10</f>
        <v>-18897.6377952755</v>
      </c>
      <c r="AJ10" s="103"/>
      <c r="AK10" s="105"/>
      <c r="AL10" s="105"/>
      <c r="AM10" s="106"/>
      <c r="AN10" s="118" t="s">
        <v>139</v>
      </c>
      <c r="AO10" s="118"/>
      <c r="AP10" s="119"/>
      <c r="AQ10" s="119"/>
    </row>
    <row r="11" customFormat="false" ht="14.25" hidden="false" customHeight="true" outlineLevel="0" collapsed="false">
      <c r="B11" s="51" t="s">
        <v>140</v>
      </c>
      <c r="C11" s="52"/>
      <c r="E11" s="120"/>
      <c r="F11" s="121"/>
      <c r="H11" s="51" t="s">
        <v>141</v>
      </c>
      <c r="I11" s="52"/>
      <c r="J11" s="53"/>
      <c r="K11" s="84"/>
      <c r="L11" s="56"/>
      <c r="N11" s="57" t="s">
        <v>142</v>
      </c>
      <c r="O11" s="60"/>
      <c r="P11" s="58"/>
      <c r="Q11" s="122" t="n">
        <v>0.045</v>
      </c>
      <c r="S11" s="107" t="s">
        <v>143</v>
      </c>
      <c r="T11" s="108"/>
      <c r="U11" s="108"/>
      <c r="V11" s="123" t="n">
        <f aca="false">SUM(V7:V10)</f>
        <v>359055.118110236</v>
      </c>
      <c r="Z11" s="124"/>
      <c r="AA11" s="88"/>
      <c r="AB11" s="27" t="s">
        <v>114</v>
      </c>
      <c r="AC11" s="125" t="n">
        <f aca="false">SUM(AC7:AC10)</f>
        <v>5289604.75</v>
      </c>
      <c r="AD11" s="90"/>
      <c r="AE11" s="92"/>
      <c r="AF11" s="108"/>
      <c r="AG11" s="124"/>
      <c r="AH11" s="126" t="s">
        <v>143</v>
      </c>
      <c r="AI11" s="127" t="n">
        <f aca="false">SUM(AI7:AI10)</f>
        <v>359055.118110236</v>
      </c>
      <c r="AJ11" s="128"/>
      <c r="AK11" s="129"/>
      <c r="AL11" s="129"/>
      <c r="AM11" s="130"/>
      <c r="AN11" s="129" t="s">
        <v>144</v>
      </c>
      <c r="AO11" s="131" t="str">
        <f aca="false">IF(AI15&gt;AO9,"YES","NO")</f>
        <v>NO</v>
      </c>
      <c r="AP11" s="132"/>
      <c r="AQ11" s="133"/>
    </row>
    <row r="12" customFormat="false" ht="14.25" hidden="false" customHeight="true" outlineLevel="0" collapsed="false">
      <c r="B12" s="51"/>
      <c r="C12" s="52"/>
      <c r="D12" s="67" t="s">
        <v>145</v>
      </c>
      <c r="E12" s="67" t="s">
        <v>111</v>
      </c>
      <c r="F12" s="68" t="s">
        <v>112</v>
      </c>
      <c r="H12" s="134" t="s">
        <v>146</v>
      </c>
      <c r="I12" s="52"/>
      <c r="J12" s="53"/>
      <c r="K12" s="135"/>
      <c r="L12" s="136"/>
      <c r="N12" s="137" t="s">
        <v>147</v>
      </c>
      <c r="O12" s="60"/>
      <c r="P12" s="58"/>
      <c r="Q12" s="138" t="n">
        <v>0.02</v>
      </c>
      <c r="S12" s="55"/>
      <c r="V12" s="63"/>
      <c r="Z12" s="55"/>
      <c r="AA12" s="139"/>
      <c r="AB12" s="140"/>
      <c r="AC12" s="140"/>
      <c r="AD12" s="140"/>
      <c r="AE12" s="141"/>
      <c r="AG12" s="55"/>
      <c r="AJ12" s="63"/>
      <c r="AM12" s="55"/>
      <c r="AP12" s="63"/>
      <c r="AQ12" s="63"/>
    </row>
    <row r="13" customFormat="false" ht="14.25" hidden="false" customHeight="true" outlineLevel="0" collapsed="false">
      <c r="B13" s="55" t="s">
        <v>148</v>
      </c>
      <c r="C13" s="52"/>
      <c r="D13" s="142" t="n">
        <v>12000</v>
      </c>
      <c r="E13" s="143" t="n">
        <v>30</v>
      </c>
      <c r="F13" s="70" t="n">
        <f aca="false">D13*E13</f>
        <v>360000</v>
      </c>
      <c r="H13" s="144" t="s">
        <v>149</v>
      </c>
      <c r="I13" s="145"/>
      <c r="J13" s="53"/>
      <c r="K13" s="146" t="n">
        <f aca="false">L13/$F$7</f>
        <v>166.666666666667</v>
      </c>
      <c r="L13" s="147" t="n">
        <v>2000000</v>
      </c>
      <c r="N13" s="148" t="s">
        <v>150</v>
      </c>
      <c r="O13" s="149"/>
      <c r="P13" s="150"/>
      <c r="Q13" s="151" t="n">
        <f aca="false">+Q12+MAX(Q11:Q11)</f>
        <v>0.065</v>
      </c>
      <c r="S13" s="55" t="s">
        <v>151</v>
      </c>
      <c r="V13" s="87" t="n">
        <f aca="false">Annual!K19</f>
        <v>-7542</v>
      </c>
      <c r="Z13" s="55"/>
      <c r="AF13" s="152"/>
      <c r="AG13" s="55"/>
      <c r="AH13" s="22" t="s">
        <v>151</v>
      </c>
      <c r="AI13" s="104" t="n">
        <f aca="false">V13</f>
        <v>-7542</v>
      </c>
      <c r="AJ13" s="87"/>
      <c r="AK13" s="153"/>
      <c r="AL13" s="153"/>
      <c r="AM13" s="154"/>
      <c r="AN13" s="129" t="s">
        <v>152</v>
      </c>
      <c r="AO13" s="155" t="n">
        <f aca="false">IFERROR(V34,"NA")</f>
        <v>0.0227274163721757</v>
      </c>
      <c r="AP13" s="156"/>
      <c r="AQ13" s="156"/>
      <c r="AR13" s="29" t="s">
        <v>153</v>
      </c>
      <c r="AS13" s="29"/>
    </row>
    <row r="14" customFormat="false" ht="14.25" hidden="false" customHeight="true" outlineLevel="0" collapsed="false">
      <c r="B14" s="55" t="s">
        <v>154</v>
      </c>
      <c r="C14" s="52"/>
      <c r="D14" s="142" t="n">
        <v>0</v>
      </c>
      <c r="E14" s="143" t="n">
        <v>0</v>
      </c>
      <c r="F14" s="70" t="n">
        <f aca="false">D14*E14</f>
        <v>0</v>
      </c>
      <c r="H14" s="144"/>
      <c r="I14" s="145"/>
      <c r="J14" s="157"/>
      <c r="K14" s="146"/>
      <c r="L14" s="147"/>
      <c r="N14" s="57"/>
      <c r="O14" s="158"/>
      <c r="Q14" s="63"/>
      <c r="S14" s="55" t="s">
        <v>155</v>
      </c>
      <c r="V14" s="87" t="n">
        <f aca="false">Q22</f>
        <v>-321442.110710864</v>
      </c>
      <c r="Z14" s="55"/>
      <c r="AA14" s="111"/>
      <c r="AB14" s="159" t="s">
        <v>156</v>
      </c>
      <c r="AC14" s="74" t="s">
        <v>112</v>
      </c>
      <c r="AD14" s="74" t="s">
        <v>110</v>
      </c>
      <c r="AE14" s="160"/>
      <c r="AF14" s="161"/>
      <c r="AG14" s="55"/>
      <c r="AH14" s="22" t="s">
        <v>155</v>
      </c>
      <c r="AI14" s="162" t="n">
        <f aca="false">V14</f>
        <v>-321442.110710864</v>
      </c>
      <c r="AJ14" s="87"/>
      <c r="AK14" s="153"/>
      <c r="AL14" s="153"/>
      <c r="AM14" s="163"/>
      <c r="AN14" s="164"/>
      <c r="AO14" s="100"/>
      <c r="AP14" s="101"/>
      <c r="AQ14" s="63"/>
    </row>
    <row r="15" customFormat="false" ht="14.25" hidden="false" customHeight="true" outlineLevel="0" collapsed="false">
      <c r="B15" s="55" t="s">
        <v>157</v>
      </c>
      <c r="C15" s="52"/>
      <c r="D15" s="142" t="n">
        <v>0</v>
      </c>
      <c r="E15" s="143" t="n">
        <v>0</v>
      </c>
      <c r="F15" s="70" t="n">
        <f aca="false">D15*E15</f>
        <v>0</v>
      </c>
      <c r="H15" s="134" t="s">
        <v>158</v>
      </c>
      <c r="I15" s="145"/>
      <c r="J15" s="165"/>
      <c r="K15" s="166"/>
      <c r="L15" s="56"/>
      <c r="N15" s="57" t="s">
        <v>159</v>
      </c>
      <c r="O15" s="158"/>
      <c r="Q15" s="167" t="n">
        <v>5</v>
      </c>
      <c r="S15" s="107" t="s">
        <v>160</v>
      </c>
      <c r="T15" s="108"/>
      <c r="U15" s="108"/>
      <c r="V15" s="113" t="n">
        <f aca="false">V11+V14+V13</f>
        <v>30071.0073993721</v>
      </c>
      <c r="Z15" s="124"/>
      <c r="AA15" s="55"/>
      <c r="AB15" s="90" t="s">
        <v>120</v>
      </c>
      <c r="AC15" s="91" t="n">
        <f aca="false">L7</f>
        <v>3967203.5625</v>
      </c>
      <c r="AD15" s="168" t="n">
        <f aca="false">J7</f>
        <v>0.75</v>
      </c>
      <c r="AE15" s="169"/>
      <c r="AF15" s="161"/>
      <c r="AG15" s="55"/>
      <c r="AH15" s="126" t="s">
        <v>160</v>
      </c>
      <c r="AI15" s="113" t="n">
        <f aca="false">V15</f>
        <v>30071.0073993721</v>
      </c>
      <c r="AJ15" s="128"/>
      <c r="AK15" s="129"/>
      <c r="AL15" s="129"/>
      <c r="AM15" s="127"/>
      <c r="AN15" s="127"/>
      <c r="AO15" s="77"/>
      <c r="AP15" s="77"/>
      <c r="AQ15" s="63"/>
    </row>
    <row r="16" customFormat="false" ht="14.25" hidden="false" customHeight="true" outlineLevel="0" collapsed="false">
      <c r="B16" s="55" t="s">
        <v>161</v>
      </c>
      <c r="C16" s="52"/>
      <c r="D16" s="142" t="n">
        <v>0</v>
      </c>
      <c r="E16" s="143" t="n">
        <v>0</v>
      </c>
      <c r="F16" s="70" t="n">
        <f aca="false">D16*E16</f>
        <v>0</v>
      </c>
      <c r="H16" s="144" t="s">
        <v>162</v>
      </c>
      <c r="I16" s="145"/>
      <c r="J16" s="165"/>
      <c r="K16" s="146" t="n">
        <f aca="false">L16/$F$7</f>
        <v>0</v>
      </c>
      <c r="L16" s="147" t="n">
        <v>0</v>
      </c>
      <c r="N16" s="57" t="s">
        <v>163</v>
      </c>
      <c r="O16" s="158"/>
      <c r="Q16" s="167" t="n">
        <v>25</v>
      </c>
      <c r="S16" s="99"/>
      <c r="T16" s="100"/>
      <c r="U16" s="170"/>
      <c r="V16" s="171"/>
      <c r="Z16" s="55"/>
      <c r="AA16" s="124"/>
      <c r="AB16" s="90" t="s">
        <v>125</v>
      </c>
      <c r="AC16" s="91" t="n">
        <f aca="false">L8</f>
        <v>1322401.1875</v>
      </c>
      <c r="AD16" s="168" t="n">
        <f aca="false">J8</f>
        <v>0.25</v>
      </c>
      <c r="AE16" s="169"/>
      <c r="AG16" s="99"/>
      <c r="AH16" s="100"/>
      <c r="AI16" s="100"/>
      <c r="AJ16" s="101"/>
      <c r="AQ16" s="63"/>
    </row>
    <row r="17" customFormat="false" ht="14.25" hidden="false" customHeight="true" outlineLevel="0" collapsed="false">
      <c r="B17" s="55" t="s">
        <v>164</v>
      </c>
      <c r="C17" s="52"/>
      <c r="D17" s="142" t="n">
        <v>0</v>
      </c>
      <c r="E17" s="143" t="n">
        <v>0</v>
      </c>
      <c r="F17" s="70" t="n">
        <f aca="false">D17*E17</f>
        <v>0</v>
      </c>
      <c r="H17" s="144" t="s">
        <v>165</v>
      </c>
      <c r="I17" s="145"/>
      <c r="J17" s="172"/>
      <c r="K17" s="173" t="n">
        <v>200</v>
      </c>
      <c r="L17" s="174" t="n">
        <f aca="false">K17*F7</f>
        <v>2400000</v>
      </c>
      <c r="N17" s="57"/>
      <c r="O17" s="158"/>
      <c r="Q17" s="63"/>
      <c r="U17" s="175"/>
      <c r="V17" s="176"/>
      <c r="Z17" s="55"/>
      <c r="AA17" s="55"/>
      <c r="AB17" s="27" t="s">
        <v>114</v>
      </c>
      <c r="AC17" s="125" t="n">
        <f aca="false">SUM(AC15:AC16)</f>
        <v>5289604.75</v>
      </c>
      <c r="AE17" s="63"/>
      <c r="AQ17" s="63"/>
    </row>
    <row r="18" customFormat="false" ht="14.25" hidden="false" customHeight="true" outlineLevel="0" collapsed="false">
      <c r="B18" s="177" t="s">
        <v>166</v>
      </c>
      <c r="C18" s="178"/>
      <c r="D18" s="179" t="n">
        <f aca="false">SUM(D13:D17)</f>
        <v>12000</v>
      </c>
      <c r="E18" s="180" t="n">
        <f aca="false">F18/D18</f>
        <v>30</v>
      </c>
      <c r="F18" s="181" t="n">
        <f aca="false">SUM(F13:F17)</f>
        <v>360000</v>
      </c>
      <c r="H18" s="144" t="s">
        <v>167</v>
      </c>
      <c r="I18" s="145"/>
      <c r="J18" s="165"/>
      <c r="K18" s="146" t="n">
        <f aca="false">L18/$F$7</f>
        <v>8.33333333333333</v>
      </c>
      <c r="L18" s="147" t="n">
        <v>100000</v>
      </c>
      <c r="N18" s="57" t="s">
        <v>168</v>
      </c>
      <c r="O18" s="158"/>
      <c r="Q18" s="167" t="n">
        <v>1</v>
      </c>
      <c r="S18" s="33" t="s">
        <v>169</v>
      </c>
      <c r="T18" s="33"/>
      <c r="U18" s="33"/>
      <c r="V18" s="37"/>
      <c r="Z18" s="55"/>
      <c r="AA18" s="99"/>
      <c r="AB18" s="182"/>
      <c r="AC18" s="183"/>
      <c r="AD18" s="100"/>
      <c r="AE18" s="101"/>
      <c r="AQ18" s="63"/>
    </row>
    <row r="19" customFormat="false" ht="14.25" hidden="false" customHeight="true" outlineLevel="0" collapsed="false">
      <c r="B19" s="55"/>
      <c r="C19" s="52"/>
      <c r="D19" s="184"/>
      <c r="E19" s="67"/>
      <c r="F19" s="185"/>
      <c r="H19" s="144" t="s">
        <v>170</v>
      </c>
      <c r="I19" s="145"/>
      <c r="J19" s="165"/>
      <c r="K19" s="146" t="n">
        <f aca="false">L19/$F$7</f>
        <v>0</v>
      </c>
      <c r="L19" s="147" t="n">
        <v>0</v>
      </c>
      <c r="N19" s="57" t="s">
        <v>171</v>
      </c>
      <c r="O19" s="158"/>
      <c r="Q19" s="87" t="n">
        <f aca="false">IPMT(Q13,1,Q16,Q6)</f>
        <v>-230324.25</v>
      </c>
      <c r="S19" s="57" t="s">
        <v>172</v>
      </c>
      <c r="T19" s="28"/>
      <c r="U19" s="28"/>
      <c r="V19" s="186" t="n">
        <v>5</v>
      </c>
      <c r="Z19" s="55"/>
      <c r="AB19" s="90"/>
      <c r="AC19" s="187"/>
      <c r="AQ19" s="63"/>
    </row>
    <row r="20" customFormat="false" ht="14.25" hidden="false" customHeight="true" outlineLevel="0" collapsed="false">
      <c r="B20" s="55" t="s">
        <v>173</v>
      </c>
      <c r="C20" s="145"/>
      <c r="D20" s="188"/>
      <c r="E20" s="89" t="n">
        <f aca="false">SUMPRODUCT(E13:E17,D13:D17)/SUM(D13:D17)</f>
        <v>30</v>
      </c>
      <c r="F20" s="189"/>
      <c r="H20" s="144" t="s">
        <v>174</v>
      </c>
      <c r="I20" s="145"/>
      <c r="J20" s="165" t="n">
        <v>0.06</v>
      </c>
      <c r="K20" s="146" t="n">
        <f aca="false">L20/$F$7</f>
        <v>12.5</v>
      </c>
      <c r="L20" s="190" t="n">
        <f aca="false">SUM(L16:L18)*J20</f>
        <v>150000</v>
      </c>
      <c r="N20" s="57"/>
      <c r="O20" s="158"/>
      <c r="Q20" s="63"/>
      <c r="S20" s="55" t="s">
        <v>175</v>
      </c>
      <c r="T20" s="28"/>
      <c r="U20" s="28"/>
      <c r="V20" s="122" t="n">
        <v>0.015</v>
      </c>
      <c r="W20" s="41"/>
      <c r="X20" s="41"/>
      <c r="Z20" s="55"/>
      <c r="AA20" s="111"/>
      <c r="AB20" s="159" t="s">
        <v>176</v>
      </c>
      <c r="AC20" s="74"/>
      <c r="AD20" s="74"/>
      <c r="AE20" s="191"/>
      <c r="AQ20" s="63"/>
    </row>
    <row r="21" customFormat="false" ht="14.25" hidden="false" customHeight="true" outlineLevel="0" collapsed="false">
      <c r="B21" s="192" t="s">
        <v>177</v>
      </c>
      <c r="C21" s="193"/>
      <c r="D21" s="194"/>
      <c r="E21" s="195"/>
      <c r="F21" s="196" t="n">
        <f aca="false">-(V14+V9+V10+V13)/F7</f>
        <v>28.990145708845</v>
      </c>
      <c r="H21" s="134" t="s">
        <v>178</v>
      </c>
      <c r="I21" s="145"/>
      <c r="J21" s="165"/>
      <c r="K21" s="166"/>
      <c r="L21" s="102"/>
      <c r="N21" s="57" t="s">
        <v>179</v>
      </c>
      <c r="O21" s="158"/>
      <c r="Q21" s="87" t="n">
        <f aca="false">PMT(Q13/12,Q16*12,Q6)</f>
        <v>-26786.8425592387</v>
      </c>
      <c r="S21" s="197" t="s">
        <v>180</v>
      </c>
      <c r="T21" s="28"/>
      <c r="U21" s="28"/>
      <c r="V21" s="198" t="n">
        <v>0.07</v>
      </c>
      <c r="W21" s="41"/>
      <c r="X21" s="41"/>
      <c r="Z21" s="55"/>
      <c r="AA21" s="55"/>
      <c r="AB21" s="90" t="s">
        <v>150</v>
      </c>
      <c r="AC21" s="199" t="n">
        <f aca="false">Q13</f>
        <v>0.065</v>
      </c>
      <c r="AD21" s="188"/>
      <c r="AE21" s="200"/>
      <c r="AQ21" s="63"/>
    </row>
    <row r="22" customFormat="false" ht="14.25" hidden="false" customHeight="true" outlineLevel="0" collapsed="false">
      <c r="B22" s="55"/>
      <c r="C22" s="145"/>
      <c r="D22" s="188"/>
      <c r="E22" s="89"/>
      <c r="F22" s="189"/>
      <c r="H22" s="144" t="s">
        <v>181</v>
      </c>
      <c r="I22" s="145"/>
      <c r="J22" s="165"/>
      <c r="K22" s="146" t="n">
        <f aca="false">L22/$F$7</f>
        <v>0</v>
      </c>
      <c r="L22" s="147" t="n">
        <v>0</v>
      </c>
      <c r="N22" s="57" t="s">
        <v>182</v>
      </c>
      <c r="O22" s="158"/>
      <c r="Q22" s="87" t="n">
        <f aca="false">Q21*12</f>
        <v>-321442.110710864</v>
      </c>
      <c r="S22" s="55" t="s">
        <v>183</v>
      </c>
      <c r="V22" s="122" t="n">
        <v>0.0625</v>
      </c>
      <c r="W22" s="201"/>
      <c r="X22" s="201"/>
      <c r="Z22" s="55"/>
      <c r="AA22" s="124"/>
      <c r="AB22" s="60" t="s">
        <v>159</v>
      </c>
      <c r="AC22" s="202" t="n">
        <v>5</v>
      </c>
      <c r="AD22" s="188"/>
      <c r="AE22" s="200"/>
      <c r="AQ22" s="63"/>
    </row>
    <row r="23" customFormat="false" ht="14.25" hidden="false" customHeight="true" outlineLevel="0" collapsed="false">
      <c r="B23" s="55" t="s">
        <v>184</v>
      </c>
      <c r="C23" s="145"/>
      <c r="D23" s="188"/>
      <c r="E23" s="89"/>
      <c r="F23" s="203" t="n">
        <v>10</v>
      </c>
      <c r="H23" s="144" t="s">
        <v>185</v>
      </c>
      <c r="I23" s="145"/>
      <c r="J23" s="165"/>
      <c r="K23" s="146" t="n">
        <f aca="false">L23/$F$7</f>
        <v>0</v>
      </c>
      <c r="L23" s="147" t="n">
        <v>0</v>
      </c>
      <c r="N23" s="204"/>
      <c r="O23" s="205"/>
      <c r="P23" s="100"/>
      <c r="Q23" s="101"/>
      <c r="S23" s="55"/>
      <c r="V23" s="206"/>
      <c r="W23" s="175"/>
      <c r="X23" s="175"/>
      <c r="Z23" s="55"/>
      <c r="AA23" s="55"/>
      <c r="AB23" s="60" t="s">
        <v>163</v>
      </c>
      <c r="AC23" s="202" t="n">
        <v>25</v>
      </c>
      <c r="AE23" s="55"/>
      <c r="AQ23" s="63"/>
    </row>
    <row r="24" customFormat="false" ht="14.25" hidden="false" customHeight="true" outlineLevel="0" collapsed="false">
      <c r="B24" s="55" t="s">
        <v>186</v>
      </c>
      <c r="F24" s="203" t="n">
        <v>5</v>
      </c>
      <c r="H24" s="144" t="s">
        <v>187</v>
      </c>
      <c r="I24" s="145"/>
      <c r="J24" s="165"/>
      <c r="K24" s="146" t="n">
        <f aca="false">L24/$F$7</f>
        <v>0.833333333333333</v>
      </c>
      <c r="L24" s="147" t="n">
        <v>10000</v>
      </c>
      <c r="N24" s="207"/>
      <c r="O24" s="158"/>
      <c r="S24" s="55"/>
      <c r="T24" s="67"/>
      <c r="U24" s="67" t="s">
        <v>111</v>
      </c>
      <c r="V24" s="68" t="s">
        <v>112</v>
      </c>
      <c r="W24" s="108"/>
      <c r="X24" s="108"/>
      <c r="Z24" s="55"/>
      <c r="AA24" s="99"/>
      <c r="AB24" s="182"/>
      <c r="AC24" s="183"/>
      <c r="AD24" s="100"/>
      <c r="AE24" s="55"/>
      <c r="AQ24" s="63"/>
    </row>
    <row r="25" customFormat="false" ht="14.25" hidden="false" customHeight="true" outlineLevel="0" collapsed="false">
      <c r="B25" s="55" t="s">
        <v>188</v>
      </c>
      <c r="F25" s="208" t="n">
        <v>0.1</v>
      </c>
      <c r="H25" s="144" t="s">
        <v>189</v>
      </c>
      <c r="I25" s="145"/>
      <c r="J25" s="165"/>
      <c r="K25" s="146" t="n">
        <f aca="false">L25/$F$7</f>
        <v>0.583333333333333</v>
      </c>
      <c r="L25" s="147" t="n">
        <v>7000</v>
      </c>
      <c r="N25" s="209" t="s">
        <v>190</v>
      </c>
      <c r="O25" s="210"/>
      <c r="P25" s="210"/>
      <c r="Q25" s="211"/>
      <c r="S25" s="55" t="s">
        <v>191</v>
      </c>
      <c r="T25" s="89"/>
      <c r="U25" s="89" t="n">
        <f aca="false">SUMIF(Annual!$J$3:$T$3,Summary!$V$19,Annual!$J$8:$T$8)</f>
        <v>33</v>
      </c>
      <c r="V25" s="70" t="n">
        <f aca="false">SUMIF(Annual!$J$3:$T$3,Summary!$V$19,Annual!$J$17:$T$17)</f>
        <v>394960.629921287</v>
      </c>
      <c r="W25" s="53"/>
      <c r="X25" s="53"/>
      <c r="Z25" s="55"/>
      <c r="AB25" s="90"/>
      <c r="AC25" s="187"/>
      <c r="AQ25" s="63"/>
    </row>
    <row r="26" customFormat="false" ht="14.25" hidden="false" customHeight="true" outlineLevel="0" collapsed="false">
      <c r="B26" s="55" t="s">
        <v>192</v>
      </c>
      <c r="F26" s="212" t="s">
        <v>193</v>
      </c>
      <c r="H26" s="144" t="s">
        <v>194</v>
      </c>
      <c r="I26" s="145"/>
      <c r="J26" s="165"/>
      <c r="K26" s="146" t="n">
        <f aca="false">L26/$F$7</f>
        <v>0.416666666666667</v>
      </c>
      <c r="L26" s="147" t="n">
        <v>5000</v>
      </c>
      <c r="N26" s="213" t="s">
        <v>195</v>
      </c>
      <c r="O26" s="214"/>
      <c r="P26" s="214"/>
      <c r="Q26" s="215" t="s">
        <v>196</v>
      </c>
      <c r="S26" s="55"/>
      <c r="V26" s="63"/>
      <c r="W26" s="53"/>
      <c r="X26" s="53"/>
      <c r="Z26" s="99"/>
      <c r="AA26" s="100"/>
      <c r="AB26" s="100"/>
      <c r="AC26" s="100"/>
      <c r="AD26" s="100"/>
      <c r="AE26" s="100"/>
      <c r="AF26" s="100"/>
      <c r="AG26" s="100"/>
      <c r="AH26" s="100"/>
      <c r="AI26" s="216"/>
      <c r="AJ26" s="100"/>
      <c r="AK26" s="100"/>
      <c r="AL26" s="100"/>
      <c r="AM26" s="100"/>
      <c r="AN26" s="100"/>
      <c r="AO26" s="100"/>
      <c r="AP26" s="100"/>
      <c r="AQ26" s="101"/>
    </row>
    <row r="27" customFormat="false" ht="14.25" hidden="false" customHeight="true" outlineLevel="0" collapsed="false">
      <c r="B27" s="55" t="s">
        <v>127</v>
      </c>
      <c r="F27" s="217" t="n">
        <v>0.95</v>
      </c>
      <c r="G27" s="153"/>
      <c r="H27" s="144" t="s">
        <v>197</v>
      </c>
      <c r="I27" s="145"/>
      <c r="J27" s="165"/>
      <c r="K27" s="146" t="n">
        <f aca="false">L27/$F$7</f>
        <v>0.416666666666667</v>
      </c>
      <c r="L27" s="147" t="n">
        <v>5000</v>
      </c>
      <c r="M27" s="153"/>
      <c r="N27" s="218"/>
      <c r="O27" s="219"/>
      <c r="P27" s="219"/>
      <c r="Q27" s="220"/>
      <c r="S27" s="55" t="s">
        <v>198</v>
      </c>
      <c r="T27" s="153"/>
      <c r="U27" s="153" t="n">
        <f aca="false">V27/F7</f>
        <v>526.614173228382</v>
      </c>
      <c r="V27" s="87" t="n">
        <f aca="false">V25/V22</f>
        <v>6319370.07874059</v>
      </c>
      <c r="AC27" s="91"/>
    </row>
    <row r="28" customFormat="false" ht="14.25" hidden="false" customHeight="true" outlineLevel="0" collapsed="false">
      <c r="B28" s="55" t="s">
        <v>199</v>
      </c>
      <c r="F28" s="221" t="n">
        <v>0</v>
      </c>
      <c r="G28" s="153"/>
      <c r="H28" s="144" t="s">
        <v>200</v>
      </c>
      <c r="I28" s="145"/>
      <c r="J28" s="165"/>
      <c r="K28" s="146" t="n">
        <f aca="false">L28/$F$7</f>
        <v>1.66666666666667</v>
      </c>
      <c r="L28" s="147" t="n">
        <v>20000</v>
      </c>
      <c r="M28" s="153"/>
      <c r="N28" s="218" t="s">
        <v>201</v>
      </c>
      <c r="O28" s="219"/>
      <c r="P28" s="219"/>
      <c r="Q28" s="222" t="n">
        <v>0.9</v>
      </c>
      <c r="S28" s="223"/>
      <c r="V28" s="63"/>
      <c r="AC28" s="91"/>
    </row>
    <row r="29" customFormat="false" ht="14.25" hidden="false" customHeight="true" outlineLevel="0" collapsed="false">
      <c r="B29" s="55" t="s">
        <v>202</v>
      </c>
      <c r="F29" s="208" t="n">
        <v>0.05</v>
      </c>
      <c r="H29" s="144" t="s">
        <v>203</v>
      </c>
      <c r="I29" s="145"/>
      <c r="J29" s="165"/>
      <c r="K29" s="146" t="n">
        <f aca="false">L29/$F$7</f>
        <v>0.416666666666667</v>
      </c>
      <c r="L29" s="147" t="n">
        <v>5000</v>
      </c>
      <c r="N29" s="218" t="s">
        <v>204</v>
      </c>
      <c r="O29" s="219"/>
      <c r="P29" s="219"/>
      <c r="Q29" s="224" t="n">
        <f aca="false">1-Q28</f>
        <v>0.1</v>
      </c>
      <c r="S29" s="225" t="s">
        <v>205</v>
      </c>
      <c r="V29" s="87" t="n">
        <f aca="false">V27-Q6</f>
        <v>2352166.51624059</v>
      </c>
    </row>
    <row r="30" customFormat="false" ht="14.25" hidden="false" customHeight="true" outlineLevel="0" collapsed="false">
      <c r="B30" s="55"/>
      <c r="F30" s="208"/>
      <c r="H30" s="144" t="s">
        <v>206</v>
      </c>
      <c r="I30" s="145"/>
      <c r="J30" s="165" t="n">
        <v>0.05</v>
      </c>
      <c r="K30" s="146" t="n">
        <f aca="false">L30/$F$7</f>
        <v>0.216666666666667</v>
      </c>
      <c r="L30" s="190" t="n">
        <f aca="false">SUM(L22:L29)*J30</f>
        <v>2600</v>
      </c>
      <c r="N30" s="218" t="s">
        <v>207</v>
      </c>
      <c r="O30" s="219"/>
      <c r="P30" s="219"/>
      <c r="Q30" s="87" t="n">
        <f aca="false">L8*Q28</f>
        <v>1190161.06875</v>
      </c>
      <c r="S30" s="225"/>
      <c r="V30" s="87"/>
    </row>
    <row r="31" customFormat="false" ht="14.25" hidden="false" customHeight="true" outlineLevel="0" collapsed="false">
      <c r="B31" s="99"/>
      <c r="C31" s="100"/>
      <c r="D31" s="100"/>
      <c r="E31" s="100"/>
      <c r="F31" s="101"/>
      <c r="H31" s="226" t="s">
        <v>208</v>
      </c>
      <c r="I31" s="227"/>
      <c r="J31" s="228"/>
      <c r="K31" s="229" t="n">
        <f aca="false">L31/$F$7</f>
        <v>392.05</v>
      </c>
      <c r="L31" s="230" t="n">
        <f aca="false">SUM(L13:L30)</f>
        <v>4704600</v>
      </c>
      <c r="N31" s="218" t="s">
        <v>209</v>
      </c>
      <c r="O31" s="219"/>
      <c r="P31" s="219"/>
      <c r="Q31" s="87" t="n">
        <f aca="false">L8*Q29</f>
        <v>132240.11875</v>
      </c>
      <c r="S31" s="231" t="s">
        <v>7</v>
      </c>
      <c r="V31" s="232" t="n">
        <f aca="false">Annual!J46</f>
        <v>0.167153092551542</v>
      </c>
    </row>
    <row r="32" customFormat="false" ht="14.25" hidden="false" customHeight="true" outlineLevel="0" collapsed="false">
      <c r="G32" s="233"/>
      <c r="H32" s="134" t="s">
        <v>210</v>
      </c>
      <c r="I32" s="145"/>
      <c r="J32" s="165"/>
      <c r="K32" s="146"/>
      <c r="L32" s="190"/>
      <c r="M32" s="233"/>
      <c r="N32" s="218"/>
      <c r="O32" s="219"/>
      <c r="P32" s="219"/>
      <c r="Q32" s="234"/>
      <c r="S32" s="225" t="s">
        <v>211</v>
      </c>
      <c r="V32" s="235" t="n">
        <f aca="false">Annual!J47</f>
        <v>2.12100498518833</v>
      </c>
    </row>
    <row r="33" customFormat="false" ht="14.25" hidden="false" customHeight="true" outlineLevel="0" collapsed="false">
      <c r="B33" s="33" t="s">
        <v>212</v>
      </c>
      <c r="C33" s="34"/>
      <c r="D33" s="35"/>
      <c r="E33" s="114"/>
      <c r="F33" s="115"/>
      <c r="G33" s="60"/>
      <c r="H33" s="144" t="s">
        <v>213</v>
      </c>
      <c r="I33" s="145"/>
      <c r="J33" s="165"/>
      <c r="K33" s="146" t="n">
        <f aca="false">L33/$F$7</f>
        <v>1.66666666666667</v>
      </c>
      <c r="L33" s="147" t="n">
        <v>20000</v>
      </c>
      <c r="M33" s="60"/>
      <c r="N33" s="55" t="s">
        <v>214</v>
      </c>
      <c r="O33" s="219"/>
      <c r="P33" s="219"/>
      <c r="Q33" s="208" t="n">
        <v>0.02</v>
      </c>
      <c r="S33" s="225" t="s">
        <v>215</v>
      </c>
      <c r="V33" s="236" t="n">
        <f aca="false">Annual!J48</f>
        <v>1482418.32360647</v>
      </c>
    </row>
    <row r="34" customFormat="false" ht="14.25" hidden="false" customHeight="true" outlineLevel="0" collapsed="false">
      <c r="B34" s="237" t="s">
        <v>216</v>
      </c>
      <c r="C34" s="52"/>
      <c r="E34" s="120"/>
      <c r="F34" s="121"/>
      <c r="G34" s="238"/>
      <c r="H34" s="144" t="s">
        <v>217</v>
      </c>
      <c r="I34" s="145"/>
      <c r="J34" s="165" t="n">
        <v>0</v>
      </c>
      <c r="K34" s="146" t="n">
        <f aca="false">L34/$F$7</f>
        <v>0</v>
      </c>
      <c r="L34" s="174" t="n">
        <f aca="false">SUM(L7:L8)*J34</f>
        <v>0</v>
      </c>
      <c r="M34" s="238"/>
      <c r="N34" s="218"/>
      <c r="O34" s="219"/>
      <c r="P34" s="219"/>
      <c r="Q34" s="234"/>
      <c r="S34" s="225" t="s">
        <v>218</v>
      </c>
      <c r="V34" s="232" t="n">
        <f aca="false">Annual!J50</f>
        <v>0.0227274163721757</v>
      </c>
    </row>
    <row r="35" customFormat="false" ht="14.25" hidden="false" customHeight="true" outlineLevel="0" collapsed="false">
      <c r="B35" s="237" t="s">
        <v>219</v>
      </c>
      <c r="C35" s="52"/>
      <c r="D35" s="67"/>
      <c r="E35" s="67"/>
      <c r="F35" s="68"/>
      <c r="G35" s="239"/>
      <c r="H35" s="144" t="s">
        <v>220</v>
      </c>
      <c r="I35" s="145"/>
      <c r="J35" s="165" t="n">
        <v>0.07</v>
      </c>
      <c r="K35" s="146" t="n">
        <f aca="false">L35/$F$7</f>
        <v>21</v>
      </c>
      <c r="L35" s="174" t="n">
        <f aca="false">(F18*F23)*J35</f>
        <v>252000</v>
      </c>
      <c r="M35" s="239"/>
      <c r="N35" s="240" t="s">
        <v>221</v>
      </c>
      <c r="O35" s="219"/>
      <c r="P35" s="219"/>
      <c r="Q35" s="222"/>
      <c r="S35" s="225" t="s">
        <v>222</v>
      </c>
      <c r="V35" s="236" t="n">
        <f aca="false">Annual!J51</f>
        <v>30054.7623993721</v>
      </c>
    </row>
    <row r="36" customFormat="false" ht="14.25" hidden="false" customHeight="true" outlineLevel="0" collapsed="false">
      <c r="B36" s="237" t="s">
        <v>223</v>
      </c>
      <c r="C36" s="52"/>
      <c r="D36" s="142"/>
      <c r="E36" s="143"/>
      <c r="F36" s="70"/>
      <c r="G36" s="239"/>
      <c r="H36" s="144" t="s">
        <v>121</v>
      </c>
      <c r="I36" s="145"/>
      <c r="J36" s="241"/>
      <c r="K36" s="86" t="n">
        <v>0.01</v>
      </c>
      <c r="L36" s="87" t="n">
        <f aca="false">K36*L39</f>
        <v>47246</v>
      </c>
      <c r="M36" s="239"/>
      <c r="N36" s="218" t="s">
        <v>224</v>
      </c>
      <c r="O36" s="219"/>
      <c r="P36" s="219"/>
      <c r="Q36" s="242" t="n">
        <f aca="false">Q28</f>
        <v>0.9</v>
      </c>
      <c r="S36" s="225"/>
      <c r="V36" s="87"/>
      <c r="Y36" s="22" t="s">
        <v>225</v>
      </c>
    </row>
    <row r="37" customFormat="false" ht="14.25" hidden="false" customHeight="true" outlineLevel="0" collapsed="false">
      <c r="B37" s="237" t="s">
        <v>226</v>
      </c>
      <c r="C37" s="52"/>
      <c r="D37" s="142"/>
      <c r="E37" s="143"/>
      <c r="F37" s="70"/>
      <c r="G37" s="243"/>
      <c r="H37" s="144" t="s">
        <v>126</v>
      </c>
      <c r="I37" s="145"/>
      <c r="J37" s="241"/>
      <c r="K37" s="86" t="n">
        <v>0.0075</v>
      </c>
      <c r="L37" s="87" t="n">
        <f aca="false">K37*L39</f>
        <v>35434.5</v>
      </c>
      <c r="M37" s="243"/>
      <c r="N37" s="218" t="s">
        <v>196</v>
      </c>
      <c r="O37" s="219"/>
      <c r="P37" s="219"/>
      <c r="Q37" s="242" t="n">
        <f aca="false">Q29</f>
        <v>0.1</v>
      </c>
      <c r="S37" s="244" t="s">
        <v>227</v>
      </c>
      <c r="V37" s="232" t="n">
        <f aca="false">Annual!I80</f>
        <v>0.125901043877015</v>
      </c>
    </row>
    <row r="38" customFormat="false" ht="14.25" hidden="false" customHeight="true" outlineLevel="0" collapsed="false">
      <c r="B38" s="237" t="s">
        <v>228</v>
      </c>
      <c r="C38" s="52"/>
      <c r="D38" s="142"/>
      <c r="E38" s="143"/>
      <c r="F38" s="70"/>
      <c r="G38" s="243"/>
      <c r="H38" s="144" t="s">
        <v>229</v>
      </c>
      <c r="I38" s="145"/>
      <c r="J38" s="241"/>
      <c r="K38" s="245" t="n">
        <f aca="false">Q18</f>
        <v>1</v>
      </c>
      <c r="L38" s="85" t="n">
        <f aca="false">-SUM(Annual!J39:T39)</f>
        <v>230324.25</v>
      </c>
      <c r="M38" s="243"/>
      <c r="N38" s="240" t="s">
        <v>230</v>
      </c>
      <c r="O38" s="219"/>
      <c r="P38" s="219"/>
      <c r="Q38" s="220"/>
      <c r="S38" s="246" t="s">
        <v>231</v>
      </c>
      <c r="U38" s="175"/>
      <c r="V38" s="235" t="n">
        <f aca="false">Annual!I81</f>
        <v>1.77680398815067</v>
      </c>
    </row>
    <row r="39" customFormat="false" ht="14.25" hidden="false" customHeight="true" outlineLevel="0" collapsed="false">
      <c r="B39" s="237" t="s">
        <v>232</v>
      </c>
      <c r="C39" s="52"/>
      <c r="D39" s="142"/>
      <c r="E39" s="143"/>
      <c r="F39" s="70"/>
      <c r="G39" s="118"/>
      <c r="H39" s="247" t="s">
        <v>233</v>
      </c>
      <c r="I39" s="248"/>
      <c r="J39" s="248"/>
      <c r="K39" s="249" t="n">
        <f aca="false">L39/$F$7</f>
        <v>440.800395833333</v>
      </c>
      <c r="L39" s="250" t="n">
        <f aca="false">SUM(L31:L38)</f>
        <v>5289604.75</v>
      </c>
      <c r="M39" s="118"/>
      <c r="N39" s="237" t="s">
        <v>234</v>
      </c>
      <c r="O39" s="251"/>
      <c r="P39" s="252"/>
      <c r="Q39" s="253" t="n">
        <v>0.08</v>
      </c>
      <c r="S39" s="246" t="s">
        <v>235</v>
      </c>
      <c r="U39" s="175"/>
      <c r="V39" s="103" t="n">
        <f aca="false">Annual!I82</f>
        <v>924521.864746658</v>
      </c>
    </row>
    <row r="40" customFormat="false" ht="14.25" hidden="false" customHeight="true" outlineLevel="0" collapsed="false">
      <c r="B40" s="237"/>
      <c r="C40" s="52"/>
      <c r="D40" s="142"/>
      <c r="E40" s="143"/>
      <c r="F40" s="70"/>
      <c r="G40" s="118"/>
      <c r="H40" s="243"/>
      <c r="I40" s="243"/>
      <c r="J40" s="243"/>
      <c r="K40" s="243"/>
      <c r="L40" s="243"/>
      <c r="M40" s="118"/>
      <c r="N40" s="237" t="s">
        <v>236</v>
      </c>
      <c r="O40" s="251"/>
      <c r="P40" s="251"/>
      <c r="Q40" s="253" t="n">
        <v>0.2</v>
      </c>
      <c r="S40" s="246" t="s">
        <v>237</v>
      </c>
      <c r="U40" s="175"/>
      <c r="V40" s="103" t="n">
        <f aca="false">Annual!I83</f>
        <v>1190161.06875</v>
      </c>
    </row>
    <row r="41" customFormat="false" ht="14.25" hidden="false" customHeight="true" outlineLevel="0" collapsed="false">
      <c r="B41" s="55"/>
      <c r="C41" s="52"/>
      <c r="D41" s="254"/>
      <c r="E41" s="143"/>
      <c r="F41" s="255"/>
      <c r="G41" s="118"/>
      <c r="H41" s="118"/>
      <c r="I41" s="118"/>
      <c r="K41" s="22" t="s">
        <v>178</v>
      </c>
      <c r="L41" s="84" t="n">
        <f aca="false">SUM(L22:L30)</f>
        <v>54600</v>
      </c>
      <c r="M41" s="118"/>
      <c r="N41" s="237"/>
      <c r="O41" s="251"/>
      <c r="P41" s="251"/>
      <c r="Q41" s="253"/>
      <c r="S41" s="55"/>
      <c r="U41" s="175"/>
      <c r="V41" s="256"/>
    </row>
    <row r="42" customFormat="false" ht="14.25" hidden="false" customHeight="true" outlineLevel="0" collapsed="false">
      <c r="B42" s="237"/>
      <c r="C42" s="52"/>
      <c r="D42" s="184"/>
      <c r="E42" s="67"/>
      <c r="F42" s="185"/>
      <c r="G42" s="118"/>
      <c r="H42" s="118"/>
      <c r="I42" s="118"/>
      <c r="K42" s="22" t="s">
        <v>210</v>
      </c>
      <c r="L42" s="84" t="n">
        <f aca="false">SUM(L33:L38)</f>
        <v>585004.75</v>
      </c>
      <c r="M42" s="118"/>
      <c r="N42" s="257"/>
      <c r="O42" s="258"/>
      <c r="P42" s="258"/>
      <c r="Q42" s="259"/>
      <c r="S42" s="244" t="s">
        <v>238</v>
      </c>
      <c r="U42" s="175"/>
      <c r="V42" s="232" t="n">
        <f aca="false">Annual!I92</f>
        <v>0.398702744961219</v>
      </c>
    </row>
    <row r="43" customFormat="false" ht="14.25" hidden="false" customHeight="true" outlineLevel="0" collapsed="false">
      <c r="B43" s="260"/>
      <c r="C43" s="261"/>
      <c r="D43" s="262"/>
      <c r="E43" s="263"/>
      <c r="F43" s="264"/>
      <c r="G43" s="118"/>
      <c r="H43" s="118"/>
      <c r="I43" s="118"/>
      <c r="K43" s="77" t="s">
        <v>114</v>
      </c>
      <c r="L43" s="265" t="n">
        <f aca="false">SUM(L41:L42)</f>
        <v>639604.75</v>
      </c>
      <c r="M43" s="118"/>
      <c r="N43" s="266"/>
      <c r="O43" s="251"/>
      <c r="P43" s="251"/>
      <c r="Q43" s="252"/>
      <c r="S43" s="246" t="s">
        <v>239</v>
      </c>
      <c r="U43" s="175"/>
      <c r="V43" s="235" t="n">
        <f aca="false">Annual!I93</f>
        <v>5.21881395852733</v>
      </c>
    </row>
    <row r="44" customFormat="false" ht="14.25" hidden="false" customHeight="true" outlineLevel="0" collapsed="false">
      <c r="G44" s="118"/>
      <c r="H44" s="118"/>
      <c r="I44" s="118"/>
      <c r="M44" s="118"/>
      <c r="N44" s="266"/>
      <c r="O44" s="251"/>
      <c r="P44" s="251"/>
      <c r="Q44" s="252"/>
      <c r="S44" s="246" t="s">
        <v>240</v>
      </c>
      <c r="U44" s="175"/>
      <c r="V44" s="103" t="n">
        <f aca="false">Annual!I94</f>
        <v>557896.458859812</v>
      </c>
    </row>
    <row r="45" customFormat="false" ht="14.25" hidden="false" customHeight="true" outlineLevel="0" collapsed="false">
      <c r="B45" s="266" t="s">
        <v>241</v>
      </c>
      <c r="G45" s="118"/>
      <c r="H45" s="118"/>
      <c r="I45" s="118"/>
      <c r="J45" s="118"/>
      <c r="K45" s="118"/>
      <c r="L45" s="118"/>
      <c r="M45" s="118"/>
      <c r="N45" s="266"/>
      <c r="O45" s="251"/>
      <c r="P45" s="251"/>
      <c r="Q45" s="252"/>
      <c r="S45" s="246" t="s">
        <v>242</v>
      </c>
      <c r="U45" s="175"/>
      <c r="V45" s="103" t="n">
        <f aca="false">Annual!I95</f>
        <v>132240.11875</v>
      </c>
    </row>
    <row r="46" customFormat="false" ht="14.25" hidden="false" customHeight="true" outlineLevel="0" collapsed="false">
      <c r="G46" s="118"/>
      <c r="H46" s="118"/>
      <c r="I46" s="118"/>
      <c r="J46" s="118"/>
      <c r="K46" s="118"/>
      <c r="L46" s="118"/>
      <c r="M46" s="118"/>
      <c r="N46" s="266"/>
      <c r="O46" s="251"/>
      <c r="P46" s="251"/>
      <c r="Q46" s="252"/>
      <c r="S46" s="246" t="s">
        <v>243</v>
      </c>
      <c r="U46" s="175"/>
      <c r="V46" s="103" t="n">
        <f aca="false">Annual!I96</f>
        <v>455171.807221294</v>
      </c>
    </row>
    <row r="47" customFormat="false" ht="14.25" hidden="false" customHeight="true" outlineLevel="0" collapsed="false">
      <c r="E47" s="22" t="str">
        <f aca="false">AO11</f>
        <v>NO</v>
      </c>
      <c r="G47" s="118"/>
      <c r="H47" s="118"/>
      <c r="I47" s="118"/>
      <c r="J47" s="118"/>
      <c r="K47" s="118" t="s">
        <v>124</v>
      </c>
      <c r="L47" s="118" t="n">
        <f aca="false">L39/1000000</f>
        <v>5.28960475</v>
      </c>
      <c r="M47" s="118"/>
      <c r="N47" s="266"/>
      <c r="O47" s="251"/>
      <c r="P47" s="251"/>
      <c r="Q47" s="252"/>
      <c r="S47" s="99"/>
      <c r="T47" s="100"/>
      <c r="U47" s="100"/>
      <c r="V47" s="101"/>
    </row>
    <row r="48" customFormat="false" ht="14.25" hidden="false" customHeight="true" outlineLevel="0" collapsed="false">
      <c r="G48" s="118"/>
      <c r="H48" s="118"/>
      <c r="I48" s="118"/>
      <c r="J48" s="118"/>
      <c r="K48" s="118" t="s">
        <v>244</v>
      </c>
      <c r="L48" s="118" t="n">
        <v>200000</v>
      </c>
      <c r="M48" s="118"/>
      <c r="N48" s="266"/>
      <c r="O48" s="251"/>
      <c r="P48" s="251"/>
      <c r="Q48" s="252"/>
      <c r="U48" s="175"/>
      <c r="V48" s="176"/>
    </row>
    <row r="49" customFormat="false" ht="14.25" hidden="false" customHeight="true" outlineLevel="0" collapsed="false">
      <c r="G49" s="118"/>
      <c r="H49" s="118"/>
      <c r="I49" s="118"/>
      <c r="J49" s="118"/>
      <c r="K49" s="118" t="s">
        <v>245</v>
      </c>
      <c r="L49" s="118" t="n">
        <f aca="false">L47*L48</f>
        <v>1057920.95</v>
      </c>
      <c r="M49" s="118"/>
      <c r="N49" s="266"/>
      <c r="O49" s="251"/>
      <c r="P49" s="251"/>
      <c r="Q49" s="252"/>
      <c r="U49" s="175"/>
      <c r="V49" s="176"/>
    </row>
    <row r="50" customFormat="false" ht="14.25" hidden="false" customHeight="true" outlineLevel="0" collapsed="false">
      <c r="G50" s="118"/>
      <c r="H50" s="118"/>
      <c r="I50" s="118"/>
      <c r="J50" s="118"/>
      <c r="K50" s="118" t="s">
        <v>246</v>
      </c>
      <c r="L50" s="118"/>
      <c r="M50" s="118"/>
      <c r="N50" s="207"/>
      <c r="O50" s="158"/>
      <c r="U50" s="175"/>
      <c r="V50" s="176"/>
    </row>
    <row r="51" customFormat="false" ht="14.25" hidden="false" customHeight="true" outlineLevel="0" collapsed="false">
      <c r="G51" s="118"/>
      <c r="H51" s="118"/>
      <c r="I51" s="118"/>
      <c r="J51" s="118"/>
      <c r="K51" s="118"/>
      <c r="L51" s="118"/>
      <c r="M51" s="118"/>
      <c r="N51" s="207"/>
      <c r="O51" s="158"/>
      <c r="U51" s="175"/>
      <c r="V51" s="176"/>
    </row>
    <row r="52" customFormat="false" ht="14.25" hidden="false" customHeight="true" outlineLevel="0" collapsed="false">
      <c r="E52" s="22" t="s">
        <v>247</v>
      </c>
      <c r="F52" s="267" t="n">
        <f aca="false">F13/0.0625</f>
        <v>5760000</v>
      </c>
      <c r="G52" s="118"/>
      <c r="H52" s="118"/>
      <c r="I52" s="118"/>
      <c r="J52" s="118"/>
      <c r="K52" s="118"/>
      <c r="L52" s="118"/>
      <c r="M52" s="118"/>
      <c r="N52" s="207"/>
      <c r="O52" s="158"/>
      <c r="U52" s="175"/>
      <c r="V52" s="176"/>
    </row>
    <row r="53" customFormat="false" ht="14.25" hidden="false" customHeight="true" outlineLevel="0" collapsed="false">
      <c r="E53" s="22" t="s">
        <v>248</v>
      </c>
      <c r="F53" s="267" t="n">
        <f aca="false">F52*0.07</f>
        <v>403200</v>
      </c>
      <c r="G53" s="118"/>
      <c r="H53" s="118"/>
      <c r="I53" s="118"/>
      <c r="J53" s="118"/>
      <c r="K53" s="118"/>
      <c r="L53" s="118"/>
      <c r="M53" s="118"/>
      <c r="N53" s="207"/>
      <c r="O53" s="158"/>
      <c r="U53" s="175"/>
      <c r="V53" s="176"/>
    </row>
    <row r="54" customFormat="false" ht="14.25" hidden="false" customHeight="true" outlineLevel="0" collapsed="false">
      <c r="E54" s="22" t="s">
        <v>249</v>
      </c>
      <c r="F54" s="267" t="n">
        <f aca="false">F52-F53-L39</f>
        <v>67195.25</v>
      </c>
      <c r="H54" s="118"/>
      <c r="I54" s="118"/>
      <c r="J54" s="118"/>
      <c r="K54" s="118"/>
      <c r="L54" s="118"/>
      <c r="N54" s="207"/>
      <c r="O54" s="158"/>
    </row>
    <row r="55" customFormat="false" ht="14.25" hidden="false" customHeight="true" outlineLevel="0" collapsed="false">
      <c r="E55" s="22" t="s">
        <v>250</v>
      </c>
      <c r="F55" s="267" t="n">
        <f aca="false">F54*0.3</f>
        <v>20158.575</v>
      </c>
      <c r="H55" s="118"/>
      <c r="I55" s="118"/>
      <c r="J55" s="118"/>
      <c r="K55" s="118"/>
      <c r="L55" s="118"/>
      <c r="N55" s="207"/>
      <c r="O55" s="158"/>
    </row>
    <row r="56" customFormat="false" ht="14.25" hidden="false" customHeight="true" outlineLevel="0" collapsed="false">
      <c r="N56" s="207"/>
      <c r="O56" s="158"/>
    </row>
    <row r="57" customFormat="false" ht="14.25" hidden="false" customHeight="true" outlineLevel="0" collapsed="false">
      <c r="E57" s="22" t="s">
        <v>251</v>
      </c>
      <c r="F57" s="267" t="n">
        <f aca="false">F52-L7-F53-F55</f>
        <v>1369437.8625</v>
      </c>
      <c r="N57" s="207"/>
      <c r="O57" s="158"/>
    </row>
    <row r="58" customFormat="false" ht="14.25" hidden="false" customHeight="true" outlineLevel="0" collapsed="false">
      <c r="N58" s="207"/>
      <c r="O58" s="158"/>
    </row>
    <row r="59" customFormat="false" ht="14.25" hidden="false" customHeight="true" outlineLevel="0" collapsed="false">
      <c r="F59" s="267" t="n">
        <f aca="false">F52*0.92</f>
        <v>5299200</v>
      </c>
    </row>
    <row r="61" customFormat="false" ht="14.25" hidden="false" customHeight="true" outlineLevel="0" collapsed="false">
      <c r="F61" s="267" t="n">
        <f aca="false">F52-L39</f>
        <v>470395.25</v>
      </c>
    </row>
    <row r="62" customFormat="false" ht="14.25" hidden="false" customHeight="true" outlineLevel="0" collapsed="false">
      <c r="F62" s="267" t="n">
        <f aca="false">F61*0.4</f>
        <v>188158.1</v>
      </c>
    </row>
  </sheetData>
  <conditionalFormatting sqref="G35:G38 H36:J38 H39:L40 L38 M35:M38 O4:O24 O50:O58 T4:T10">
    <cfRule type="expression" priority="2" aboveAverage="0" equalAverage="0" bottom="0" percent="0" rank="0" text="" dxfId="0">
      <formula>IF(#ref!="No",1,0)</formula>
    </cfRule>
  </conditionalFormatting>
  <dataValidations count="1">
    <dataValidation allowBlank="true" errorStyle="stop" operator="between" showDropDown="false" showErrorMessage="true" showInputMessage="true" sqref="T2" type="list">
      <formula1>"Base Pro Forma,Allen Model Pro Form"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H13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80" activeCellId="0" sqref="I8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22" width="3.61"/>
    <col collapsed="false" customWidth="true" hidden="false" outlineLevel="0" max="2" min="2" style="22" width="35"/>
    <col collapsed="false" customWidth="false" hidden="false" outlineLevel="0" max="4" min="3" style="22" width="8.73"/>
    <col collapsed="false" customWidth="true" hidden="false" outlineLevel="0" max="6" min="5" style="22" width="11"/>
    <col collapsed="false" customWidth="true" hidden="false" outlineLevel="0" max="7" min="7" style="22" width="2.33"/>
    <col collapsed="false" customWidth="true" hidden="false" outlineLevel="0" max="8" min="8" style="22" width="41.47"/>
    <col collapsed="false" customWidth="true" hidden="false" outlineLevel="0" max="9" min="9" style="22" width="11.79"/>
    <col collapsed="false" customWidth="true" hidden="false" outlineLevel="0" max="10" min="10" style="22" width="12.06"/>
    <col collapsed="false" customWidth="true" hidden="false" outlineLevel="0" max="11" min="11" style="22" width="15.79"/>
    <col collapsed="false" customWidth="true" hidden="false" outlineLevel="0" max="14" min="12" style="22" width="12.06"/>
    <col collapsed="false" customWidth="true" hidden="false" outlineLevel="0" max="20" min="15" style="22" width="13.73"/>
    <col collapsed="false" customWidth="true" hidden="false" outlineLevel="0" max="21" min="21" style="22" width="2.33"/>
    <col collapsed="false" customWidth="false" hidden="false" outlineLevel="0" max="22" min="22" style="22" width="8.73"/>
    <col collapsed="false" customWidth="true" hidden="false" outlineLevel="0" max="23" min="23" style="22" width="9.79"/>
    <col collapsed="false" customWidth="false" hidden="false" outlineLevel="0" max="16384" min="24" style="22" width="8.73"/>
  </cols>
  <sheetData>
    <row r="3" customFormat="false" ht="14.25" hidden="false" customHeight="true" outlineLevel="0" collapsed="false">
      <c r="B3" s="268" t="s">
        <v>252</v>
      </c>
      <c r="C3" s="269"/>
      <c r="D3" s="269"/>
      <c r="E3" s="270"/>
      <c r="F3" s="271"/>
      <c r="H3" s="272" t="s">
        <v>253</v>
      </c>
      <c r="I3" s="272"/>
      <c r="J3" s="272" t="n">
        <v>0</v>
      </c>
      <c r="K3" s="272" t="n">
        <f aca="false">+J3+1</f>
        <v>1</v>
      </c>
      <c r="L3" s="272" t="n">
        <f aca="false">+K3+1</f>
        <v>2</v>
      </c>
      <c r="M3" s="272" t="n">
        <f aca="false">+L3+1</f>
        <v>3</v>
      </c>
      <c r="N3" s="272" t="n">
        <f aca="false">+M3+1</f>
        <v>4</v>
      </c>
      <c r="O3" s="272" t="n">
        <f aca="false">+N3+1</f>
        <v>5</v>
      </c>
      <c r="P3" s="272" t="n">
        <f aca="false">+O3+1</f>
        <v>6</v>
      </c>
      <c r="Q3" s="272" t="n">
        <f aca="false">+P3+1</f>
        <v>7</v>
      </c>
      <c r="R3" s="272" t="n">
        <f aca="false">+Q3+1</f>
        <v>8</v>
      </c>
      <c r="S3" s="272" t="n">
        <f aca="false">+R3+1</f>
        <v>9</v>
      </c>
      <c r="T3" s="272" t="n">
        <f aca="false">+S3+1</f>
        <v>10</v>
      </c>
    </row>
    <row r="4" customFormat="false" ht="14.25" hidden="false" customHeight="true" outlineLevel="0" collapsed="false">
      <c r="H4" s="273" t="s">
        <v>254</v>
      </c>
      <c r="I4" s="273"/>
      <c r="J4" s="273" t="n">
        <v>0</v>
      </c>
      <c r="K4" s="273" t="n">
        <f aca="false">+J4+12</f>
        <v>12</v>
      </c>
      <c r="L4" s="273" t="n">
        <f aca="false">+K4+12</f>
        <v>24</v>
      </c>
      <c r="M4" s="273" t="n">
        <f aca="false">+L4+12</f>
        <v>36</v>
      </c>
      <c r="N4" s="273" t="n">
        <f aca="false">+M4+12</f>
        <v>48</v>
      </c>
      <c r="O4" s="273" t="n">
        <f aca="false">+N4+12</f>
        <v>60</v>
      </c>
      <c r="P4" s="273" t="n">
        <f aca="false">+O4+12</f>
        <v>72</v>
      </c>
      <c r="Q4" s="273" t="n">
        <f aca="false">+P4+12</f>
        <v>84</v>
      </c>
      <c r="R4" s="273" t="n">
        <f aca="false">+Q4+12</f>
        <v>96</v>
      </c>
      <c r="S4" s="273" t="n">
        <f aca="false">+R4+12</f>
        <v>108</v>
      </c>
      <c r="T4" s="273" t="n">
        <f aca="false">+S4+12</f>
        <v>120</v>
      </c>
    </row>
    <row r="5" customFormat="false" ht="14.25" hidden="false" customHeight="true" outlineLevel="0" collapsed="false">
      <c r="B5" s="22" t="s">
        <v>255</v>
      </c>
      <c r="E5" s="274" t="n">
        <f aca="false">Summary!D18</f>
        <v>12000</v>
      </c>
      <c r="F5" s="274"/>
    </row>
    <row r="6" customFormat="false" ht="14.25" hidden="false" customHeight="true" outlineLevel="0" collapsed="false">
      <c r="B6" s="22" t="s">
        <v>256</v>
      </c>
      <c r="E6" s="275" t="n">
        <f aca="false">Summary!E18</f>
        <v>30</v>
      </c>
      <c r="F6" s="275"/>
      <c r="H6" s="276" t="s">
        <v>257</v>
      </c>
      <c r="I6" s="276"/>
      <c r="J6" s="277" t="n">
        <f aca="false">-E25</f>
        <v>-5289604.75</v>
      </c>
      <c r="K6" s="277" t="n">
        <v>0</v>
      </c>
      <c r="L6" s="277" t="n">
        <v>0</v>
      </c>
      <c r="M6" s="277" t="n">
        <v>0</v>
      </c>
      <c r="N6" s="277" t="n">
        <v>0</v>
      </c>
      <c r="O6" s="277" t="n">
        <v>0</v>
      </c>
      <c r="P6" s="277" t="n">
        <v>0</v>
      </c>
      <c r="Q6" s="277" t="n">
        <v>0</v>
      </c>
      <c r="R6" s="277" t="n">
        <v>0</v>
      </c>
      <c r="S6" s="277" t="n">
        <v>0</v>
      </c>
      <c r="T6" s="277" t="n">
        <v>0</v>
      </c>
    </row>
    <row r="7" customFormat="false" ht="14.25" hidden="false" customHeight="true" outlineLevel="0" collapsed="false">
      <c r="B7" s="22" t="s">
        <v>258</v>
      </c>
      <c r="E7" s="274" t="n">
        <f aca="false">Summary!F24</f>
        <v>5</v>
      </c>
      <c r="F7" s="274"/>
    </row>
    <row r="8" customFormat="false" ht="14.25" hidden="false" customHeight="true" outlineLevel="0" collapsed="false">
      <c r="B8" s="22" t="s">
        <v>259</v>
      </c>
      <c r="D8" s="278"/>
      <c r="E8" s="279" t="n">
        <f aca="false">Summary!F25</f>
        <v>0.1</v>
      </c>
      <c r="F8" s="279"/>
      <c r="H8" s="22" t="s">
        <v>260</v>
      </c>
      <c r="K8" s="280" t="n">
        <f aca="false">+$D$11</f>
        <v>30</v>
      </c>
      <c r="L8" s="267" t="n">
        <f aca="false">IF(L3=$E$7,+K8*(1+$E$8),K8)</f>
        <v>30</v>
      </c>
      <c r="M8" s="267" t="n">
        <f aca="false">IF(M3=$E$7,+L8*(1+$E$8),L8)</f>
        <v>30</v>
      </c>
      <c r="N8" s="267" t="n">
        <f aca="false">IF(N3=$E$7,+M8*(1+$E$8),M8)</f>
        <v>30</v>
      </c>
      <c r="O8" s="267" t="n">
        <f aca="false">IF(O3=$E$7,+N8*(1+$E$8),N8)</f>
        <v>33</v>
      </c>
      <c r="P8" s="267" t="n">
        <f aca="false">IF(P3=$E$7,+O8*(1+$E$8),O8)</f>
        <v>33</v>
      </c>
      <c r="Q8" s="267" t="n">
        <f aca="false">IF(Q3=$E$7,+P8*(1+$E$8),P8)</f>
        <v>33</v>
      </c>
      <c r="R8" s="267" t="n">
        <f aca="false">IF(R3=$E$7,+Q8*(1+$E$8),Q8)</f>
        <v>33</v>
      </c>
      <c r="S8" s="267" t="n">
        <f aca="false">IF(S3=$E$7,+R8*(1+$E$8),R8)</f>
        <v>33</v>
      </c>
      <c r="T8" s="267" t="n">
        <f aca="false">IF(T3=$E$7,+S8*(1+$E$8),S8)</f>
        <v>33</v>
      </c>
    </row>
    <row r="10" customFormat="false" ht="14.25" hidden="false" customHeight="true" outlineLevel="0" collapsed="false">
      <c r="B10" s="281" t="s">
        <v>261</v>
      </c>
      <c r="C10" s="66" t="s">
        <v>110</v>
      </c>
      <c r="D10" s="282" t="s">
        <v>262</v>
      </c>
      <c r="E10" s="282" t="s">
        <v>263</v>
      </c>
      <c r="F10" s="282"/>
      <c r="H10" s="283" t="s">
        <v>264</v>
      </c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</row>
    <row r="11" customFormat="false" ht="14.25" hidden="false" customHeight="true" outlineLevel="0" collapsed="false">
      <c r="B11" s="145" t="s">
        <v>265</v>
      </c>
      <c r="D11" s="284" t="n">
        <f aca="false">+E6</f>
        <v>30</v>
      </c>
      <c r="E11" s="84" t="n">
        <f aca="false">+D11*E$5</f>
        <v>360000</v>
      </c>
      <c r="F11" s="84"/>
      <c r="H11" s="285" t="s">
        <v>122</v>
      </c>
      <c r="I11" s="285"/>
      <c r="K11" s="84" t="n">
        <f aca="false">+K8*$E$5</f>
        <v>360000</v>
      </c>
      <c r="L11" s="84" t="n">
        <f aca="false">+L8*$E$5</f>
        <v>360000</v>
      </c>
      <c r="M11" s="84" t="n">
        <f aca="false">+M8*$E$5</f>
        <v>360000</v>
      </c>
      <c r="N11" s="84" t="n">
        <f aca="false">+N8*$E$5</f>
        <v>360000</v>
      </c>
      <c r="O11" s="84" t="n">
        <f aca="false">+O8*$E$5</f>
        <v>396000</v>
      </c>
      <c r="P11" s="84" t="n">
        <f aca="false">+P8*$E$5</f>
        <v>396000</v>
      </c>
      <c r="Q11" s="84" t="n">
        <f aca="false">+Q8*$E$5</f>
        <v>396000</v>
      </c>
      <c r="R11" s="84" t="n">
        <f aca="false">+R8*$E$5</f>
        <v>396000</v>
      </c>
      <c r="S11" s="84" t="n">
        <f aca="false">+S8*$E$5</f>
        <v>396000</v>
      </c>
      <c r="T11" s="84" t="n">
        <f aca="false">+T8*$E$5</f>
        <v>396000</v>
      </c>
    </row>
    <row r="12" customFormat="false" ht="14.25" hidden="false" customHeight="true" outlineLevel="0" collapsed="false">
      <c r="B12" s="145" t="s">
        <v>127</v>
      </c>
      <c r="C12" s="286" t="n">
        <f aca="false">Summary!F27</f>
        <v>0.95</v>
      </c>
      <c r="D12" s="287" t="n">
        <f aca="false">+E12/E5</f>
        <v>1.49606263036816</v>
      </c>
      <c r="E12" s="158" t="n">
        <f aca="false">-C12*E15</f>
        <v>17952.7556993099</v>
      </c>
      <c r="F12" s="158"/>
      <c r="H12" s="285" t="s">
        <v>127</v>
      </c>
      <c r="I12" s="285"/>
      <c r="K12" s="84" t="n">
        <f aca="false">-K15*$C$12</f>
        <v>17952.7559055118</v>
      </c>
      <c r="L12" s="84" t="n">
        <f aca="false">-L15*$C$12</f>
        <v>17952.7559055118</v>
      </c>
      <c r="M12" s="84" t="n">
        <f aca="false">-M15*$C$12</f>
        <v>17952.7559055108</v>
      </c>
      <c r="N12" s="84" t="n">
        <f aca="false">-N15*$C$12</f>
        <v>17952.7559054897</v>
      </c>
      <c r="O12" s="84" t="n">
        <f aca="false">-O15*$C$12</f>
        <v>19748.0314955512</v>
      </c>
      <c r="P12" s="84" t="n">
        <f aca="false">-P15*$C$12</f>
        <v>19748.0314955512</v>
      </c>
      <c r="Q12" s="84" t="n">
        <f aca="false">-Q15*$C$12</f>
        <v>19748.0314955512</v>
      </c>
      <c r="R12" s="84" t="n">
        <f aca="false">-R15*$C$12</f>
        <v>19748.0314955512</v>
      </c>
      <c r="S12" s="84" t="n">
        <f aca="false">-S15*$C$12</f>
        <v>19748.0314955512</v>
      </c>
      <c r="T12" s="84" t="n">
        <f aca="false">-T15*$C$12</f>
        <v>19748.0314955512</v>
      </c>
    </row>
    <row r="13" customFormat="false" ht="14.25" hidden="false" customHeight="true" outlineLevel="0" collapsed="false">
      <c r="B13" s="145" t="s">
        <v>132</v>
      </c>
      <c r="C13" s="286" t="n">
        <f aca="false">Summary!F28</f>
        <v>0</v>
      </c>
      <c r="D13" s="287" t="n">
        <f aca="false">-C13*SUM(D11:D12)</f>
        <v>-0</v>
      </c>
      <c r="E13" s="84" t="n">
        <f aca="false">+D13*E$5</f>
        <v>-0</v>
      </c>
      <c r="F13" s="84"/>
      <c r="H13" s="285" t="s">
        <v>132</v>
      </c>
      <c r="I13" s="285"/>
      <c r="K13" s="84" t="n">
        <f aca="false">-SUM(K11:K12)*$C$13</f>
        <v>-0</v>
      </c>
      <c r="L13" s="84" t="n">
        <f aca="false">-SUM(L11:L12)*$C$13</f>
        <v>-0</v>
      </c>
      <c r="M13" s="84" t="n">
        <f aca="false">-SUM(M11:M12)*$C$13</f>
        <v>-0</v>
      </c>
      <c r="N13" s="84" t="n">
        <f aca="false">-SUM(N11:N12)*$C$13</f>
        <v>-0</v>
      </c>
      <c r="O13" s="84" t="n">
        <f aca="false">-SUM(O11:O12)*$C$13</f>
        <v>-0</v>
      </c>
      <c r="P13" s="84" t="n">
        <f aca="false">-SUM(P11:P12)*$C$13</f>
        <v>-0</v>
      </c>
      <c r="Q13" s="84" t="n">
        <f aca="false">-SUM(Q11:Q12)*$C$13</f>
        <v>-0</v>
      </c>
      <c r="R13" s="84" t="n">
        <f aca="false">-SUM(R11:R12)*$C$13</f>
        <v>-0</v>
      </c>
      <c r="S13" s="84" t="n">
        <f aca="false">-SUM(S11:S12)*$C$13</f>
        <v>-0</v>
      </c>
      <c r="T13" s="84" t="n">
        <f aca="false">-SUM(T11:T12)*$C$13</f>
        <v>-0</v>
      </c>
    </row>
    <row r="14" customFormat="false" ht="14.25" hidden="false" customHeight="true" outlineLevel="0" collapsed="false">
      <c r="B14" s="108" t="s">
        <v>266</v>
      </c>
      <c r="D14" s="288" t="n">
        <f aca="false">SUM(D11:D13)</f>
        <v>31.4960626303682</v>
      </c>
      <c r="E14" s="289" t="n">
        <f aca="false">+D14*E$5</f>
        <v>377952.751564418</v>
      </c>
      <c r="F14" s="289"/>
      <c r="H14" s="285"/>
      <c r="I14" s="285"/>
    </row>
    <row r="15" customFormat="false" ht="14.25" hidden="false" customHeight="true" outlineLevel="0" collapsed="false">
      <c r="B15" s="145" t="s">
        <v>202</v>
      </c>
      <c r="C15" s="286" t="n">
        <f aca="false">Summary!F29</f>
        <v>0.05</v>
      </c>
      <c r="D15" s="287" t="n">
        <f aca="false">+E15/E5</f>
        <v>-1.57480313151841</v>
      </c>
      <c r="E15" s="158" t="n">
        <f aca="false">-E14*C15</f>
        <v>-18897.6375782209</v>
      </c>
      <c r="F15" s="158"/>
      <c r="H15" s="285" t="s">
        <v>137</v>
      </c>
      <c r="I15" s="285"/>
      <c r="K15" s="84" t="n">
        <f aca="false">-SUM(K11:K13)*$C$15</f>
        <v>-18897.6377952755</v>
      </c>
      <c r="L15" s="84" t="n">
        <f aca="false">-SUM(L11:L13)*$C$15</f>
        <v>-18897.6377952755</v>
      </c>
      <c r="M15" s="84" t="n">
        <f aca="false">-SUM(M11:M13)*$C$15</f>
        <v>-18897.6377952745</v>
      </c>
      <c r="N15" s="84" t="n">
        <f aca="false">-SUM(N11:N13)*$C$15</f>
        <v>-18897.6377952523</v>
      </c>
      <c r="O15" s="84" t="n">
        <f aca="false">-SUM(O11:O13)*$C$15</f>
        <v>-20787.4015742644</v>
      </c>
      <c r="P15" s="84" t="n">
        <f aca="false">-SUM(P11:P13)*$C$15</f>
        <v>-20787.4015742644</v>
      </c>
      <c r="Q15" s="84" t="n">
        <f aca="false">-SUM(Q11:Q13)*$C$15</f>
        <v>-20787.4015742644</v>
      </c>
      <c r="R15" s="84" t="n">
        <f aca="false">-SUM(R11:R13)*$C$15</f>
        <v>-20787.4015742644</v>
      </c>
      <c r="S15" s="84" t="n">
        <f aca="false">-SUM(S11:S13)*$C$15</f>
        <v>-20787.4015742644</v>
      </c>
      <c r="T15" s="84" t="n">
        <f aca="false">-SUM(T11:T13)*$C$15</f>
        <v>-20787.4015742644</v>
      </c>
    </row>
    <row r="16" customFormat="false" ht="14.25" hidden="false" customHeight="true" outlineLevel="0" collapsed="false">
      <c r="B16" s="108" t="s">
        <v>267</v>
      </c>
      <c r="C16" s="290"/>
      <c r="D16" s="288" t="n">
        <f aca="false">+E16/E$5</f>
        <v>29.9212594988498</v>
      </c>
      <c r="E16" s="291" t="n">
        <f aca="false">SUM(E14:E15)</f>
        <v>359055.113986197</v>
      </c>
      <c r="F16" s="291"/>
      <c r="K16" s="292"/>
      <c r="L16" s="293"/>
      <c r="M16" s="293"/>
      <c r="N16" s="293"/>
      <c r="O16" s="293"/>
      <c r="P16" s="293"/>
      <c r="Q16" s="293"/>
      <c r="R16" s="293"/>
      <c r="S16" s="293"/>
    </row>
    <row r="17" customFormat="false" ht="14.25" hidden="false" customHeight="true" outlineLevel="0" collapsed="false">
      <c r="B17" s="22" t="s">
        <v>151</v>
      </c>
      <c r="C17" s="286" t="n">
        <f aca="false">Summary!Q33</f>
        <v>0.02</v>
      </c>
      <c r="D17" s="288" t="n">
        <f aca="false">+E17/E$5</f>
        <v>-0.598425189976995</v>
      </c>
      <c r="E17" s="291" t="n">
        <f aca="false">-C17*E16</f>
        <v>-7181.10227972394</v>
      </c>
      <c r="F17" s="291"/>
      <c r="H17" s="276" t="s">
        <v>268</v>
      </c>
      <c r="I17" s="276"/>
      <c r="J17" s="277" t="n">
        <f aca="false">SUM(J11:J16)</f>
        <v>0</v>
      </c>
      <c r="K17" s="277" t="n">
        <f aca="false">SUM(K11:K16)</f>
        <v>359055.118110236</v>
      </c>
      <c r="L17" s="277" t="n">
        <f aca="false">SUM(L11:L16)</f>
        <v>359055.118110236</v>
      </c>
      <c r="M17" s="277" t="n">
        <f aca="false">SUM(M11:M16)</f>
        <v>359055.118110236</v>
      </c>
      <c r="N17" s="277" t="n">
        <f aca="false">SUM(N11:N16)</f>
        <v>359055.118110237</v>
      </c>
      <c r="O17" s="277" t="n">
        <f aca="false">SUM(O11:O16)</f>
        <v>394960.629921287</v>
      </c>
      <c r="P17" s="277" t="n">
        <f aca="false">SUM(P11:P16)</f>
        <v>394960.629921827</v>
      </c>
      <c r="Q17" s="277" t="n">
        <f aca="false">SUM(Q11:Q16)</f>
        <v>394960.629921827</v>
      </c>
      <c r="R17" s="277" t="n">
        <f aca="false">SUM(R11:R16)</f>
        <v>394960.629921827</v>
      </c>
      <c r="S17" s="277" t="n">
        <f aca="false">SUM(S11:S16)</f>
        <v>394960.629921827</v>
      </c>
      <c r="T17" s="277" t="n">
        <f aca="false">SUM(T11:T16)</f>
        <v>394960.629921827</v>
      </c>
    </row>
    <row r="18" customFormat="false" ht="14.25" hidden="false" customHeight="true" outlineLevel="0" collapsed="false">
      <c r="B18" s="108" t="s">
        <v>269</v>
      </c>
      <c r="C18" s="294"/>
      <c r="D18" s="288" t="n">
        <f aca="false">D16+D17</f>
        <v>29.3228343088728</v>
      </c>
      <c r="E18" s="291" t="n">
        <f aca="false">E16+E17</f>
        <v>351874.011706473</v>
      </c>
      <c r="F18" s="291"/>
      <c r="K18" s="292"/>
      <c r="L18" s="293"/>
      <c r="M18" s="293"/>
      <c r="N18" s="293"/>
      <c r="O18" s="293"/>
      <c r="P18" s="293"/>
      <c r="Q18" s="293"/>
      <c r="R18" s="293"/>
      <c r="S18" s="293"/>
    </row>
    <row r="19" customFormat="false" ht="14.25" hidden="false" customHeight="true" outlineLevel="0" collapsed="false">
      <c r="H19" s="108" t="s">
        <v>151</v>
      </c>
      <c r="I19" s="108"/>
      <c r="J19" s="295" t="n">
        <f aca="false">SUM(J11:J13)*-$C$17</f>
        <v>-0</v>
      </c>
      <c r="K19" s="295" t="n">
        <f aca="false">SUM(K11:K13)*-$C$17</f>
        <v>-7542</v>
      </c>
      <c r="L19" s="295" t="n">
        <f aca="false">SUM(L11:L13)*-$C$17</f>
        <v>-7558.245</v>
      </c>
      <c r="M19" s="295" t="n">
        <f aca="false">SUM(M11:M13)*-$C$17</f>
        <v>-7558.245</v>
      </c>
      <c r="N19" s="295" t="n">
        <f aca="false">SUM(N11:N13)*-$C$17</f>
        <v>-7558.245</v>
      </c>
      <c r="O19" s="295" t="n">
        <f aca="false">SUM(O11:O13)*-$C$17</f>
        <v>-8314.0695</v>
      </c>
      <c r="P19" s="295" t="n">
        <f aca="false">SUM(P11:P13)*-$C$17</f>
        <v>-8314.0695</v>
      </c>
      <c r="Q19" s="295" t="n">
        <f aca="false">SUM(Q11:Q13)*-$C$17</f>
        <v>-8314.0695</v>
      </c>
      <c r="R19" s="295" t="n">
        <f aca="false">SUM(R11:R13)*-$C$17</f>
        <v>-8314.0695</v>
      </c>
      <c r="S19" s="295" t="n">
        <f aca="false">SUM(S11:S13)*-$C$17</f>
        <v>-8314.0695</v>
      </c>
      <c r="T19" s="295" t="n">
        <f aca="false">SUM(T11:T13)*-$C$17</f>
        <v>-8314.0695</v>
      </c>
    </row>
    <row r="21" customFormat="false" ht="14.25" hidden="false" customHeight="true" outlineLevel="0" collapsed="false">
      <c r="B21" s="296" t="s">
        <v>270</v>
      </c>
      <c r="C21" s="296"/>
      <c r="D21" s="297"/>
      <c r="E21" s="298"/>
      <c r="F21" s="298"/>
      <c r="H21" s="108" t="s">
        <v>198</v>
      </c>
      <c r="I21" s="108"/>
      <c r="J21" s="299" t="n">
        <f aca="false">IF(J3=Summary!$V$19,+J17/Summary!$V$22,0)</f>
        <v>0</v>
      </c>
      <c r="K21" s="299" t="n">
        <f aca="false">IF(K3=Summary!$V$19,+K17/Summary!$V$22,0)</f>
        <v>0</v>
      </c>
      <c r="L21" s="299" t="n">
        <f aca="false">IF(L3=Summary!$V$19,+L17/Summary!$V$22,0)</f>
        <v>0</v>
      </c>
      <c r="M21" s="299" t="n">
        <f aca="false">IF(M3=Summary!$V$19,+M17/Summary!$V$22,0)</f>
        <v>0</v>
      </c>
      <c r="N21" s="299" t="n">
        <f aca="false">IF(N3=Summary!$V$19,+N17/Summary!$V$22,0)</f>
        <v>0</v>
      </c>
      <c r="O21" s="299" t="n">
        <f aca="false">IF(O3=Summary!$V$19,+O17/Summary!$V$22,0)</f>
        <v>6319407.6</v>
      </c>
      <c r="P21" s="299" t="n">
        <f aca="false">IF(P3=Summary!$V$19,+P17/Summary!$V$22,0)</f>
        <v>0</v>
      </c>
      <c r="Q21" s="299" t="n">
        <f aca="false">IF(Q3=Summary!$V$19,+Q17/Summary!$V$22,0)</f>
        <v>0</v>
      </c>
      <c r="R21" s="299" t="n">
        <f aca="false">IF(R3=Summary!$V$19,+R17/Summary!$V$22,0)</f>
        <v>0</v>
      </c>
      <c r="S21" s="299" t="n">
        <f aca="false">IF(S3=Summary!$V$19,+S17/Summary!$V$22,0)</f>
        <v>0</v>
      </c>
      <c r="T21" s="299" t="n">
        <f aca="false">IF(T3=Summary!$V$19,+T17/Summary!$V$22,0)</f>
        <v>0</v>
      </c>
    </row>
    <row r="22" customFormat="false" ht="14.25" hidden="false" customHeight="true" outlineLevel="0" collapsed="false">
      <c r="B22" s="22" t="s">
        <v>271</v>
      </c>
      <c r="D22" s="53"/>
      <c r="E22" s="300" t="n">
        <f aca="false">Summary!L13</f>
        <v>2000000</v>
      </c>
      <c r="F22" s="300"/>
      <c r="H22" s="108" t="s">
        <v>175</v>
      </c>
      <c r="I22" s="108"/>
      <c r="J22" s="295" t="n">
        <f aca="false">J21*-Summary!$V$20</f>
        <v>-0</v>
      </c>
      <c r="K22" s="295" t="n">
        <f aca="false">K21*-Summary!$V$20</f>
        <v>-0</v>
      </c>
      <c r="L22" s="295" t="n">
        <f aca="false">L21*-Summary!$V$20</f>
        <v>-0</v>
      </c>
      <c r="M22" s="295" t="n">
        <f aca="false">M21*-Summary!$V$20</f>
        <v>-0</v>
      </c>
      <c r="N22" s="295" t="n">
        <f aca="false">N21*-Summary!$V$20</f>
        <v>-0</v>
      </c>
      <c r="O22" s="295" t="n">
        <f aca="false">O21*-Summary!$V$20</f>
        <v>-94791.114</v>
      </c>
      <c r="P22" s="295" t="n">
        <f aca="false">P21*-Summary!$V$20</f>
        <v>-0</v>
      </c>
      <c r="Q22" s="295" t="n">
        <f aca="false">Q21*-Summary!$V$20</f>
        <v>-0</v>
      </c>
      <c r="R22" s="295" t="n">
        <f aca="false">R21*-Summary!$V$20</f>
        <v>-0</v>
      </c>
      <c r="S22" s="295" t="n">
        <f aca="false">S21*-Summary!$V$20</f>
        <v>-0</v>
      </c>
      <c r="T22" s="295" t="n">
        <f aca="false">T21*-Summary!$V$20</f>
        <v>-0</v>
      </c>
    </row>
    <row r="23" customFormat="false" ht="14.25" hidden="false" customHeight="true" outlineLevel="0" collapsed="false">
      <c r="B23" s="22" t="s">
        <v>272</v>
      </c>
      <c r="D23" s="53"/>
      <c r="E23" s="300" t="n">
        <f aca="false">SUM(Summary!L16:L20)</f>
        <v>2650000</v>
      </c>
      <c r="F23" s="300"/>
      <c r="H23" s="107" t="s">
        <v>273</v>
      </c>
      <c r="I23" s="126"/>
      <c r="J23" s="301" t="n">
        <f aca="false">+SUM(J17:J22,J6)*IF(J3&gt;Summary!$V$19,0,1)</f>
        <v>-5289604.75</v>
      </c>
      <c r="K23" s="301" t="n">
        <f aca="false">+SUM(K17:K22,K6)*IF(K3&gt;Summary!$V$19,0,1)</f>
        <v>351513.118110236</v>
      </c>
      <c r="L23" s="301" t="n">
        <f aca="false">+SUM(L17:L22,L6)*IF(L3&gt;Summary!$V$19,0,1)</f>
        <v>351496.873110236</v>
      </c>
      <c r="M23" s="301" t="n">
        <f aca="false">+SUM(M17:M22,M6)*IF(M3&gt;Summary!$V$19,0,1)</f>
        <v>351496.873110236</v>
      </c>
      <c r="N23" s="301" t="n">
        <f aca="false">+SUM(N17:N22,N6)*IF(N3&gt;Summary!$V$19,0,1)</f>
        <v>351496.873110237</v>
      </c>
      <c r="O23" s="301" t="n">
        <f aca="false">+SUM(O17:O22,O6)*IF(O3&gt;Summary!$V$19,0,1)</f>
        <v>6611263.04642129</v>
      </c>
      <c r="P23" s="301" t="n">
        <f aca="false">+SUM(P17:P22,P6)*IF(P3&gt;Summary!$V$19,0,1)</f>
        <v>0</v>
      </c>
      <c r="Q23" s="301" t="n">
        <f aca="false">+SUM(Q17:Q22,Q6)*IF(Q3&gt;Summary!$V$19,0,1)</f>
        <v>0</v>
      </c>
      <c r="R23" s="301" t="n">
        <f aca="false">+SUM(R17:R22,R6)*IF(R3&gt;Summary!$V$19,0,1)</f>
        <v>0</v>
      </c>
      <c r="S23" s="301" t="n">
        <f aca="false">+SUM(S17:S22,S6)*IF(S3&gt;Summary!$V$19,0,1)</f>
        <v>0</v>
      </c>
      <c r="T23" s="302" t="n">
        <f aca="false">+SUM(T17:T22,T6)*IF(T3&gt;Summary!$V$19,0,1)</f>
        <v>0</v>
      </c>
    </row>
    <row r="24" customFormat="false" ht="14.25" hidden="false" customHeight="true" outlineLevel="0" collapsed="false">
      <c r="B24" s="22" t="s">
        <v>178</v>
      </c>
      <c r="D24" s="53"/>
      <c r="E24" s="303" t="n">
        <f aca="false">SUM(Summary!L22:L30,Summary!L33:L38)</f>
        <v>639604.75</v>
      </c>
      <c r="F24" s="300"/>
      <c r="H24" s="139" t="s">
        <v>274</v>
      </c>
      <c r="I24" s="140"/>
      <c r="J24" s="304" t="n">
        <f aca="false">+J23</f>
        <v>-5289604.75</v>
      </c>
      <c r="K24" s="304" t="n">
        <f aca="false">+K23+J24</f>
        <v>-4938091.63188976</v>
      </c>
      <c r="L24" s="304" t="n">
        <f aca="false">+L23+K24</f>
        <v>-4586594.75877953</v>
      </c>
      <c r="M24" s="304" t="n">
        <f aca="false">+M23+L24</f>
        <v>-4235097.88566929</v>
      </c>
      <c r="N24" s="304" t="n">
        <f aca="false">+N23+M24</f>
        <v>-3883601.01255905</v>
      </c>
      <c r="O24" s="304" t="n">
        <f aca="false">+O23+N24</f>
        <v>2727662.03386223</v>
      </c>
      <c r="P24" s="304" t="n">
        <f aca="false">+P23+O24</f>
        <v>2727662.03386223</v>
      </c>
      <c r="Q24" s="304" t="n">
        <f aca="false">+Q23+P24</f>
        <v>2727662.03386223</v>
      </c>
      <c r="R24" s="304" t="n">
        <f aca="false">+R23+Q24</f>
        <v>2727662.03386223</v>
      </c>
      <c r="S24" s="304" t="n">
        <f aca="false">+S23+R24</f>
        <v>2727662.03386223</v>
      </c>
      <c r="T24" s="305" t="n">
        <f aca="false">+T23+S24</f>
        <v>2727662.03386223</v>
      </c>
    </row>
    <row r="25" customFormat="false" ht="14.25" hidden="false" customHeight="true" outlineLevel="0" collapsed="false">
      <c r="B25" s="306" t="s">
        <v>275</v>
      </c>
      <c r="C25" s="306"/>
      <c r="D25" s="307"/>
      <c r="E25" s="308" t="n">
        <f aca="false">SUM(E22:E24)</f>
        <v>5289604.75</v>
      </c>
      <c r="F25" s="309"/>
      <c r="J25" s="299"/>
      <c r="K25" s="299"/>
      <c r="L25" s="299"/>
      <c r="M25" s="299"/>
    </row>
    <row r="26" customFormat="false" ht="14.25" hidden="false" customHeight="true" outlineLevel="0" collapsed="false">
      <c r="B26" s="310" t="s">
        <v>276</v>
      </c>
      <c r="C26" s="310"/>
      <c r="D26" s="311"/>
      <c r="E26" s="312" t="n">
        <f aca="false">E25/E5</f>
        <v>440.800395833333</v>
      </c>
      <c r="F26" s="313"/>
      <c r="H26" s="107" t="s">
        <v>277</v>
      </c>
      <c r="I26" s="126"/>
      <c r="J26" s="314" t="n">
        <f aca="false">IRR(J23:T23)</f>
        <v>0.0966917143603681</v>
      </c>
    </row>
    <row r="27" customFormat="false" ht="14.25" hidden="false" customHeight="true" outlineLevel="0" collapsed="false">
      <c r="B27" s="108"/>
      <c r="C27" s="108"/>
      <c r="D27" s="175"/>
      <c r="E27" s="309"/>
      <c r="F27" s="309"/>
      <c r="H27" s="124" t="s">
        <v>278</v>
      </c>
      <c r="I27" s="108"/>
      <c r="J27" s="315" t="n">
        <f aca="false">+J28/J29+1</f>
        <v>1.51566462198565</v>
      </c>
    </row>
    <row r="28" customFormat="false" ht="14.25" hidden="false" customHeight="true" outlineLevel="0" collapsed="false">
      <c r="B28" s="296" t="s">
        <v>279</v>
      </c>
      <c r="C28" s="296"/>
      <c r="D28" s="297"/>
      <c r="E28" s="298"/>
      <c r="F28" s="298"/>
      <c r="H28" s="124" t="s">
        <v>280</v>
      </c>
      <c r="I28" s="108"/>
      <c r="J28" s="316" t="n">
        <f aca="false">SUM(J23:T23)</f>
        <v>2727662.03386223</v>
      </c>
      <c r="K28" s="317" t="str">
        <f aca="false">IF(ROUND(J28,2)&lt;&gt;ROUND(SUM(J23:T23),2),J28-SUM(J23:T23),"True")</f>
        <v>True</v>
      </c>
    </row>
    <row r="29" customFormat="false" ht="14.25" hidden="false" customHeight="true" outlineLevel="0" collapsed="false">
      <c r="B29" s="22" t="s">
        <v>281</v>
      </c>
      <c r="D29" s="53" t="s">
        <v>110</v>
      </c>
      <c r="E29" s="318" t="n">
        <f aca="false">Summary!J7</f>
        <v>0.75</v>
      </c>
      <c r="F29" s="319"/>
      <c r="H29" s="139" t="s">
        <v>282</v>
      </c>
      <c r="I29" s="140"/>
      <c r="J29" s="320" t="n">
        <f aca="false">+-MIN(J24:T24)</f>
        <v>5289604.75</v>
      </c>
    </row>
    <row r="30" customFormat="false" ht="14.25" hidden="false" customHeight="true" outlineLevel="0" collapsed="false">
      <c r="B30" s="22" t="s">
        <v>283</v>
      </c>
      <c r="D30" s="53" t="s">
        <v>284</v>
      </c>
      <c r="E30" s="309" t="n">
        <f aca="false">E29*E25</f>
        <v>3967203.5625</v>
      </c>
      <c r="F30" s="321" t="str">
        <f aca="false">IF(E30=Summary!L7,"ok","check")</f>
        <v>ok</v>
      </c>
    </row>
    <row r="31" customFormat="false" ht="14.25" hidden="false" customHeight="true" outlineLevel="0" collapsed="false">
      <c r="B31" s="22" t="s">
        <v>150</v>
      </c>
      <c r="D31" s="53" t="s">
        <v>110</v>
      </c>
      <c r="E31" s="279" t="n">
        <f aca="false">Summary!Q13</f>
        <v>0.065</v>
      </c>
      <c r="F31" s="279"/>
      <c r="H31" s="322" t="s">
        <v>285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</row>
    <row r="32" customFormat="false" ht="14.25" hidden="false" customHeight="true" outlineLevel="0" collapsed="false">
      <c r="B32" s="22" t="s">
        <v>286</v>
      </c>
      <c r="D32" s="53"/>
      <c r="E32" s="323" t="n">
        <f aca="false">Summary!Q15</f>
        <v>5</v>
      </c>
      <c r="F32" s="323"/>
      <c r="H32" s="60" t="s">
        <v>273</v>
      </c>
      <c r="I32" s="60"/>
      <c r="J32" s="299" t="n">
        <f aca="false">+J23</f>
        <v>-5289604.75</v>
      </c>
      <c r="K32" s="299" t="n">
        <f aca="false">+K23</f>
        <v>351513.118110236</v>
      </c>
      <c r="L32" s="299" t="n">
        <f aca="false">+L23</f>
        <v>351496.873110236</v>
      </c>
      <c r="M32" s="299" t="n">
        <f aca="false">+M23</f>
        <v>351496.873110236</v>
      </c>
      <c r="N32" s="299" t="n">
        <f aca="false">+N23</f>
        <v>351496.873110237</v>
      </c>
      <c r="O32" s="299" t="n">
        <f aca="false">+O23</f>
        <v>6611263.04642129</v>
      </c>
      <c r="P32" s="299" t="n">
        <f aca="false">+P23</f>
        <v>0</v>
      </c>
      <c r="Q32" s="299" t="n">
        <f aca="false">+Q23</f>
        <v>0</v>
      </c>
      <c r="R32" s="299" t="n">
        <f aca="false">+R23</f>
        <v>0</v>
      </c>
      <c r="S32" s="299" t="n">
        <f aca="false">+S23</f>
        <v>0</v>
      </c>
      <c r="T32" s="299" t="n">
        <f aca="false">+T23</f>
        <v>0</v>
      </c>
    </row>
    <row r="33" customFormat="false" ht="14.25" hidden="false" customHeight="true" outlineLevel="0" collapsed="false">
      <c r="B33" s="22" t="s">
        <v>287</v>
      </c>
      <c r="D33" s="53"/>
      <c r="E33" s="323" t="n">
        <f aca="false">Summary!Q16</f>
        <v>25</v>
      </c>
      <c r="F33" s="323"/>
    </row>
    <row r="34" customFormat="false" ht="14.25" hidden="false" customHeight="true" outlineLevel="0" collapsed="false">
      <c r="B34" s="22" t="s">
        <v>168</v>
      </c>
      <c r="D34" s="53"/>
      <c r="E34" s="323" t="n">
        <f aca="false">Summary!Q18</f>
        <v>1</v>
      </c>
      <c r="F34" s="323"/>
      <c r="H34" s="324" t="s">
        <v>288</v>
      </c>
      <c r="I34" s="324"/>
      <c r="J34" s="295" t="n">
        <f aca="false">Annual!E30</f>
        <v>3967203.5625</v>
      </c>
      <c r="K34" s="295" t="n">
        <v>0</v>
      </c>
      <c r="L34" s="295" t="n">
        <v>0</v>
      </c>
      <c r="M34" s="295" t="n">
        <v>0</v>
      </c>
      <c r="N34" s="295" t="n">
        <v>0</v>
      </c>
      <c r="O34" s="295" t="n">
        <v>0</v>
      </c>
      <c r="P34" s="295" t="n">
        <v>0</v>
      </c>
      <c r="Q34" s="295" t="n">
        <v>0</v>
      </c>
      <c r="R34" s="295" t="n">
        <v>0</v>
      </c>
      <c r="S34" s="295" t="n">
        <v>0</v>
      </c>
      <c r="T34" s="295" t="n">
        <v>0</v>
      </c>
    </row>
    <row r="35" customFormat="false" ht="14.25" hidden="false" customHeight="true" outlineLevel="0" collapsed="false">
      <c r="D35" s="53"/>
      <c r="E35" s="309"/>
      <c r="F35" s="309"/>
      <c r="G35" s="325"/>
      <c r="H35" s="326" t="s">
        <v>121</v>
      </c>
      <c r="I35" s="326"/>
      <c r="J35" s="327" t="n">
        <f aca="false">-IF(J$34&gt;0,Summary!L36,0)</f>
        <v>-47246</v>
      </c>
      <c r="K35" s="328" t="n">
        <v>0</v>
      </c>
      <c r="L35" s="328" t="n">
        <v>0</v>
      </c>
      <c r="M35" s="328" t="n">
        <v>0</v>
      </c>
      <c r="N35" s="328" t="n">
        <v>0</v>
      </c>
      <c r="O35" s="328" t="n">
        <v>0</v>
      </c>
      <c r="P35" s="328" t="n">
        <v>0</v>
      </c>
      <c r="Q35" s="328" t="n">
        <v>0</v>
      </c>
      <c r="R35" s="328" t="n">
        <v>0</v>
      </c>
      <c r="S35" s="328" t="n">
        <v>0</v>
      </c>
      <c r="T35" s="328" t="n">
        <v>0</v>
      </c>
    </row>
    <row r="36" customFormat="false" ht="14.25" hidden="false" customHeight="true" outlineLevel="0" collapsed="false">
      <c r="D36" s="53"/>
      <c r="E36" s="309"/>
      <c r="F36" s="309"/>
      <c r="G36" s="325"/>
      <c r="H36" s="326" t="s">
        <v>126</v>
      </c>
      <c r="I36" s="326"/>
      <c r="J36" s="327" t="n">
        <f aca="false">-IF(J$34&gt;0,Summary!L37,0)</f>
        <v>-35434.5</v>
      </c>
      <c r="K36" s="328" t="n">
        <v>0</v>
      </c>
      <c r="L36" s="328" t="n">
        <v>0</v>
      </c>
      <c r="M36" s="328" t="n">
        <v>0</v>
      </c>
      <c r="N36" s="328" t="n">
        <v>0</v>
      </c>
      <c r="O36" s="328" t="n">
        <v>0</v>
      </c>
      <c r="P36" s="328" t="n">
        <v>0</v>
      </c>
      <c r="Q36" s="328" t="n">
        <v>0</v>
      </c>
      <c r="R36" s="328" t="n">
        <v>0</v>
      </c>
      <c r="S36" s="328" t="n">
        <v>0</v>
      </c>
      <c r="T36" s="328" t="n">
        <v>0</v>
      </c>
    </row>
    <row r="37" customFormat="false" ht="14.25" hidden="false" customHeight="true" outlineLevel="0" collapsed="false">
      <c r="B37" s="22" t="s">
        <v>289</v>
      </c>
      <c r="D37" s="53"/>
      <c r="E37" s="309" t="n">
        <f aca="false">(1-E29)*E25</f>
        <v>1322401.1875</v>
      </c>
      <c r="F37" s="321" t="str">
        <f aca="false">IF(E37=Summary!L8,"ok","check")</f>
        <v>ok</v>
      </c>
      <c r="H37" s="326" t="s">
        <v>213</v>
      </c>
      <c r="I37" s="326"/>
      <c r="J37" s="329" t="n">
        <f aca="false">-Summary!L33</f>
        <v>-20000</v>
      </c>
      <c r="K37" s="330"/>
      <c r="L37" s="330"/>
      <c r="M37" s="330"/>
      <c r="N37" s="330"/>
      <c r="O37" s="330"/>
      <c r="P37" s="330"/>
      <c r="Q37" s="330"/>
      <c r="R37" s="330"/>
      <c r="S37" s="330"/>
      <c r="T37" s="330"/>
    </row>
    <row r="38" customFormat="false" ht="14.25" hidden="false" customHeight="true" outlineLevel="0" collapsed="false">
      <c r="D38" s="53"/>
      <c r="E38" s="309"/>
      <c r="F38" s="321" t="str">
        <f aca="false">IF(E37=-J60,"ok","check")</f>
        <v>ok</v>
      </c>
      <c r="G38" s="331"/>
      <c r="H38" s="326" t="s">
        <v>220</v>
      </c>
      <c r="I38" s="326"/>
      <c r="J38" s="329" t="n">
        <f aca="false">-Summary!L35</f>
        <v>-252000</v>
      </c>
      <c r="K38" s="330"/>
      <c r="L38" s="330"/>
      <c r="M38" s="330"/>
      <c r="N38" s="330"/>
      <c r="O38" s="330"/>
      <c r="P38" s="330"/>
      <c r="Q38" s="330"/>
      <c r="R38" s="330"/>
      <c r="S38" s="330"/>
      <c r="T38" s="330"/>
    </row>
    <row r="39" customFormat="false" ht="14.25" hidden="false" customHeight="true" outlineLevel="0" collapsed="false">
      <c r="D39" s="53"/>
      <c r="E39" s="309"/>
      <c r="F39" s="309"/>
      <c r="G39" s="331"/>
      <c r="H39" s="326" t="s">
        <v>171</v>
      </c>
      <c r="I39" s="326"/>
      <c r="J39" s="329" t="n">
        <f aca="false">IF(J3&lt;Summary!$Q$18,Summary!$Q$19,0)</f>
        <v>-230324.25</v>
      </c>
      <c r="K39" s="299" t="n">
        <f aca="false">IF(K3&lt;Summary!$Q$18,Summary!$Q$19,0)</f>
        <v>0</v>
      </c>
      <c r="L39" s="299" t="n">
        <f aca="false">IF(L3&lt;Summary!$Q$18,Summary!$Q$19,0)</f>
        <v>0</v>
      </c>
      <c r="M39" s="299" t="n">
        <f aca="false">IF(M3&lt;Summary!$Q$18,Summary!$Q$19,0)</f>
        <v>0</v>
      </c>
      <c r="N39" s="299" t="n">
        <f aca="false">IF(N3&lt;Summary!$Q$18,Summary!$Q$19,0)</f>
        <v>0</v>
      </c>
      <c r="O39" s="299" t="n">
        <f aca="false">IF(O3&lt;Summary!$Q$18,Summary!$Q$19,0)</f>
        <v>0</v>
      </c>
      <c r="P39" s="299" t="n">
        <f aca="false">IF(P3&lt;Summary!$Q$18,Summary!$Q$19,0)</f>
        <v>0</v>
      </c>
      <c r="Q39" s="299" t="n">
        <f aca="false">IF(Q3&lt;Summary!$Q$18,Summary!$Q$19,0)</f>
        <v>0</v>
      </c>
      <c r="R39" s="299" t="n">
        <f aca="false">IF(R3&lt;Summary!$Q$18,Summary!$Q$19,0)</f>
        <v>0</v>
      </c>
      <c r="S39" s="299" t="n">
        <f aca="false">IF(S3&lt;Summary!$Q$18,Summary!$Q$19,0)</f>
        <v>0</v>
      </c>
      <c r="T39" s="299" t="n">
        <f aca="false">IF(T3&lt;Summary!$Q$18,Summary!$Q$19,0)</f>
        <v>0</v>
      </c>
    </row>
    <row r="40" customFormat="false" ht="14.25" hidden="false" customHeight="true" outlineLevel="0" collapsed="false">
      <c r="D40" s="53"/>
      <c r="E40" s="309"/>
      <c r="F40" s="309"/>
      <c r="H40" s="324" t="s">
        <v>290</v>
      </c>
      <c r="I40" s="324"/>
      <c r="J40" s="299" t="n">
        <f aca="false">IF(J3&gt;=Summary!$Q$18,Summary!$Q$22,0)*IF(J3&gt;Summary!$V$19,0,1)</f>
        <v>0</v>
      </c>
      <c r="K40" s="299" t="n">
        <f aca="false">IF(K3&gt;=Summary!$Q$18,Summary!$Q$22,0)*IF(K3&gt;Summary!$V$19,0,1)</f>
        <v>-321442.110710864</v>
      </c>
      <c r="L40" s="299" t="n">
        <f aca="false">IF(L3&gt;=Summary!$Q$18,Summary!$Q$22,0)*IF(L3&gt;Summary!$V$19,0,1)</f>
        <v>-321442.110710864</v>
      </c>
      <c r="M40" s="299" t="n">
        <f aca="false">IF(M3&gt;=Summary!$Q$18,Summary!$Q$22,0)*IF(M3&gt;Summary!$V$19,0,1)</f>
        <v>-321442.110710864</v>
      </c>
      <c r="N40" s="299" t="n">
        <f aca="false">IF(N3&gt;=Summary!$Q$18,Summary!$Q$22,0)*IF(N3&gt;Summary!$V$19,0,1)</f>
        <v>-321442.110710864</v>
      </c>
      <c r="O40" s="299" t="n">
        <f aca="false">IF(O3&gt;=Summary!$Q$18,Summary!$Q$22,0)*IF(O3&gt;Summary!$V$19,0,1)</f>
        <v>-321442.110710864</v>
      </c>
      <c r="P40" s="299" t="n">
        <f aca="false">IF(P3&gt;=Summary!$Q$18,Summary!$Q$22,0)*IF(P3&gt;Summary!$V$19,0,1)</f>
        <v>-0</v>
      </c>
      <c r="Q40" s="299" t="n">
        <f aca="false">IF(Q3&gt;=Summary!$Q$18,Summary!$Q$22,0)*IF(Q3&gt;Summary!$V$19,0,1)</f>
        <v>-0</v>
      </c>
      <c r="R40" s="299" t="n">
        <f aca="false">IF(R3&gt;=Summary!$Q$18,Summary!$Q$22,0)*IF(R3&gt;Summary!$V$19,0,1)</f>
        <v>-0</v>
      </c>
      <c r="S40" s="299" t="n">
        <f aca="false">IF(S3&gt;=Summary!$Q$18,Summary!$Q$22,0)*IF(S3&gt;Summary!$V$19,0,1)</f>
        <v>-0</v>
      </c>
      <c r="T40" s="299" t="n">
        <f aca="false">IF(T3&gt;=Summary!$Q$18,Summary!$Q$22,0)*IF(T3&gt;Summary!$V$19,0,1)</f>
        <v>-0</v>
      </c>
    </row>
    <row r="41" customFormat="false" ht="14.25" hidden="false" customHeight="true" outlineLevel="0" collapsed="false">
      <c r="D41" s="53"/>
      <c r="E41" s="309"/>
      <c r="F41" s="309"/>
      <c r="H41" s="324" t="s">
        <v>291</v>
      </c>
      <c r="I41" s="324"/>
      <c r="J41" s="299"/>
      <c r="K41" s="295" t="n">
        <f aca="false">K117</f>
        <v>0</v>
      </c>
      <c r="L41" s="295" t="n">
        <f aca="false">L117</f>
        <v>0</v>
      </c>
      <c r="M41" s="295" t="n">
        <f aca="false">M117</f>
        <v>0</v>
      </c>
      <c r="N41" s="295" t="n">
        <f aca="false">N117</f>
        <v>0</v>
      </c>
      <c r="O41" s="295" t="n">
        <f aca="false">O117</f>
        <v>-3605236.71920144</v>
      </c>
      <c r="P41" s="295" t="n">
        <f aca="false">P117</f>
        <v>0</v>
      </c>
      <c r="Q41" s="295" t="n">
        <f aca="false">Q117</f>
        <v>0</v>
      </c>
      <c r="R41" s="295" t="n">
        <f aca="false">R117</f>
        <v>0</v>
      </c>
      <c r="S41" s="295" t="n">
        <f aca="false">S117</f>
        <v>0</v>
      </c>
      <c r="T41" s="295" t="n">
        <f aca="false">T117</f>
        <v>0</v>
      </c>
    </row>
    <row r="42" customFormat="false" ht="14.25" hidden="false" customHeight="true" outlineLevel="0" collapsed="false">
      <c r="D42" s="53"/>
      <c r="E42" s="309"/>
      <c r="F42" s="309"/>
    </row>
    <row r="43" customFormat="false" ht="14.25" hidden="false" customHeight="true" outlineLevel="0" collapsed="false">
      <c r="D43" s="53"/>
      <c r="E43" s="309"/>
      <c r="F43" s="309"/>
      <c r="G43" s="331" t="s">
        <v>292</v>
      </c>
      <c r="H43" s="107" t="s">
        <v>293</v>
      </c>
      <c r="I43" s="126"/>
      <c r="J43" s="301" t="n">
        <f aca="false">+SUM(J32:J34)</f>
        <v>-1322401.1875</v>
      </c>
      <c r="K43" s="301" t="n">
        <f aca="false">+SUM(K32:K41)</f>
        <v>30071.0073993721</v>
      </c>
      <c r="L43" s="301" t="n">
        <f aca="false">+SUM(L32:L41)</f>
        <v>30054.7623993721</v>
      </c>
      <c r="M43" s="301" t="n">
        <f aca="false">+SUM(M32:M41)</f>
        <v>30054.7623993721</v>
      </c>
      <c r="N43" s="301" t="n">
        <f aca="false">+SUM(N32:N41)</f>
        <v>30054.7623993732</v>
      </c>
      <c r="O43" s="301" t="n">
        <f aca="false">+SUM(O32:O41)</f>
        <v>2684584.21650898</v>
      </c>
      <c r="P43" s="301" t="n">
        <f aca="false">+SUM(P32:P41)</f>
        <v>0</v>
      </c>
      <c r="Q43" s="301" t="n">
        <f aca="false">+SUM(Q32:Q41)</f>
        <v>0</v>
      </c>
      <c r="R43" s="301" t="n">
        <f aca="false">+SUM(R32:R41)</f>
        <v>0</v>
      </c>
      <c r="S43" s="301" t="n">
        <f aca="false">+SUM(S32:S41)</f>
        <v>0</v>
      </c>
      <c r="T43" s="302" t="n">
        <f aca="false">+SUM(T32:T41)</f>
        <v>0</v>
      </c>
    </row>
    <row r="44" customFormat="false" ht="14.25" hidden="false" customHeight="true" outlineLevel="0" collapsed="false">
      <c r="D44" s="53"/>
      <c r="E44" s="309"/>
      <c r="F44" s="309"/>
      <c r="G44" s="331" t="s">
        <v>294</v>
      </c>
      <c r="H44" s="139" t="s">
        <v>295</v>
      </c>
      <c r="I44" s="140"/>
      <c r="J44" s="304" t="n">
        <f aca="false">+J43</f>
        <v>-1322401.1875</v>
      </c>
      <c r="K44" s="304" t="n">
        <f aca="false">+K43+J44</f>
        <v>-1292330.18010063</v>
      </c>
      <c r="L44" s="304" t="n">
        <f aca="false">+L43+K44</f>
        <v>-1262275.41770126</v>
      </c>
      <c r="M44" s="304" t="n">
        <f aca="false">+M43+L44</f>
        <v>-1232220.65530188</v>
      </c>
      <c r="N44" s="304" t="n">
        <f aca="false">+N43+M44</f>
        <v>-1202165.89290251</v>
      </c>
      <c r="O44" s="304" t="n">
        <f aca="false">+O43+N44</f>
        <v>1482418.32360647</v>
      </c>
      <c r="P44" s="304" t="n">
        <f aca="false">+P43+O44</f>
        <v>1482418.32360647</v>
      </c>
      <c r="Q44" s="304" t="n">
        <f aca="false">+Q43+P44</f>
        <v>1482418.32360647</v>
      </c>
      <c r="R44" s="304" t="n">
        <f aca="false">+R43+Q44</f>
        <v>1482418.32360647</v>
      </c>
      <c r="S44" s="304" t="n">
        <f aca="false">+S43+R44</f>
        <v>1482418.32360647</v>
      </c>
      <c r="T44" s="305" t="n">
        <f aca="false">+T43+S44</f>
        <v>1482418.32360647</v>
      </c>
    </row>
    <row r="45" customFormat="false" ht="14.25" hidden="false" customHeight="true" outlineLevel="0" collapsed="false">
      <c r="D45" s="53"/>
      <c r="E45" s="309"/>
      <c r="F45" s="309"/>
    </row>
    <row r="46" customFormat="false" ht="14.25" hidden="false" customHeight="true" outlineLevel="0" collapsed="false">
      <c r="D46" s="53"/>
      <c r="E46" s="309"/>
      <c r="F46" s="309"/>
      <c r="H46" s="107" t="s">
        <v>7</v>
      </c>
      <c r="I46" s="126"/>
      <c r="J46" s="314" t="n">
        <f aca="false">IRR(J43:T43)</f>
        <v>0.167153092551542</v>
      </c>
      <c r="L46" s="299"/>
    </row>
    <row r="47" customFormat="false" ht="14.25" hidden="false" customHeight="true" outlineLevel="0" collapsed="false">
      <c r="D47" s="53"/>
      <c r="E47" s="309"/>
      <c r="F47" s="309"/>
      <c r="H47" s="124" t="s">
        <v>211</v>
      </c>
      <c r="I47" s="108"/>
      <c r="J47" s="315" t="n">
        <f aca="false">+J48/J49+1</f>
        <v>2.12100498518833</v>
      </c>
      <c r="L47" s="299"/>
    </row>
    <row r="48" customFormat="false" ht="14.25" hidden="false" customHeight="true" outlineLevel="0" collapsed="false">
      <c r="D48" s="53"/>
      <c r="E48" s="309"/>
      <c r="F48" s="309"/>
      <c r="H48" s="124" t="s">
        <v>215</v>
      </c>
      <c r="I48" s="108"/>
      <c r="J48" s="316" t="n">
        <f aca="false">SUM(J43:T43)</f>
        <v>1482418.32360647</v>
      </c>
      <c r="K48" s="317" t="str">
        <f aca="false">IF(ROUND(J48,2)&lt;&gt;ROUND(SUM(J43:T43),2),J48-SUM(J43:T43),"True")</f>
        <v>True</v>
      </c>
    </row>
    <row r="49" customFormat="false" ht="14.25" hidden="false" customHeight="true" outlineLevel="0" collapsed="false">
      <c r="D49" s="53"/>
      <c r="E49" s="309"/>
      <c r="F49" s="309"/>
      <c r="H49" s="124" t="s">
        <v>296</v>
      </c>
      <c r="I49" s="108"/>
      <c r="J49" s="316" t="n">
        <f aca="false">+-MIN(J44:T44)</f>
        <v>1322401.1875</v>
      </c>
    </row>
    <row r="50" customFormat="false" ht="14.25" hidden="false" customHeight="true" outlineLevel="0" collapsed="false">
      <c r="D50" s="53"/>
      <c r="E50" s="309"/>
      <c r="F50" s="309"/>
      <c r="H50" s="124" t="s">
        <v>218</v>
      </c>
      <c r="I50" s="108"/>
      <c r="J50" s="332" t="n">
        <f aca="false">M43/Summary!L8</f>
        <v>0.0227274163721757</v>
      </c>
      <c r="K50" s="29" t="s">
        <v>297</v>
      </c>
    </row>
    <row r="51" customFormat="false" ht="14.25" hidden="false" customHeight="true" outlineLevel="0" collapsed="false">
      <c r="D51" s="53"/>
      <c r="E51" s="309"/>
      <c r="F51" s="309"/>
      <c r="H51" s="139" t="s">
        <v>222</v>
      </c>
      <c r="I51" s="140"/>
      <c r="J51" s="320" t="n">
        <f aca="false">M43</f>
        <v>30054.7623993721</v>
      </c>
      <c r="K51" s="29" t="s">
        <v>153</v>
      </c>
    </row>
    <row r="52" customFormat="false" ht="14.25" hidden="false" customHeight="true" outlineLevel="0" collapsed="false">
      <c r="D52" s="53"/>
      <c r="E52" s="309"/>
      <c r="F52" s="309"/>
    </row>
    <row r="53" customFormat="false" ht="14.25" hidden="false" customHeight="true" outlineLevel="0" collapsed="false">
      <c r="D53" s="53"/>
      <c r="E53" s="309"/>
      <c r="F53" s="309"/>
    </row>
    <row r="54" customFormat="false" ht="14.25" hidden="false" customHeight="true" outlineLevel="0" collapsed="false">
      <c r="D54" s="53"/>
      <c r="E54" s="309"/>
      <c r="F54" s="309"/>
      <c r="H54" s="219" t="s">
        <v>298</v>
      </c>
      <c r="I54" s="219"/>
      <c r="J54" s="333" t="n">
        <f aca="false">J43</f>
        <v>-1322401.1875</v>
      </c>
      <c r="K54" s="333" t="n">
        <f aca="false">K43</f>
        <v>30071.0073993721</v>
      </c>
      <c r="L54" s="333" t="n">
        <f aca="false">L43</f>
        <v>30054.7623993721</v>
      </c>
      <c r="M54" s="333" t="n">
        <f aca="false">M43</f>
        <v>30054.7623993721</v>
      </c>
      <c r="N54" s="333" t="n">
        <f aca="false">N43</f>
        <v>30054.7623993732</v>
      </c>
      <c r="O54" s="333" t="n">
        <f aca="false">O43</f>
        <v>2684584.21650898</v>
      </c>
      <c r="P54" s="333" t="n">
        <f aca="false">P43</f>
        <v>0</v>
      </c>
      <c r="Q54" s="333" t="n">
        <f aca="false">Q43</f>
        <v>0</v>
      </c>
      <c r="R54" s="333" t="n">
        <f aca="false">R43</f>
        <v>0</v>
      </c>
      <c r="S54" s="333" t="n">
        <f aca="false">S43</f>
        <v>0</v>
      </c>
      <c r="T54" s="333" t="n">
        <f aca="false">T43</f>
        <v>0</v>
      </c>
      <c r="U54" s="219"/>
    </row>
    <row r="55" customFormat="false" ht="14.25" hidden="false" customHeight="true" outlineLevel="0" collapsed="false">
      <c r="D55" s="53"/>
      <c r="E55" s="309"/>
      <c r="F55" s="30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</row>
    <row r="56" customFormat="false" ht="14.25" hidden="false" customHeight="true" outlineLevel="0" collapsed="false">
      <c r="D56" s="53"/>
      <c r="E56" s="309"/>
      <c r="F56" s="334" t="s">
        <v>299</v>
      </c>
      <c r="H56" s="335" t="s">
        <v>300</v>
      </c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</row>
    <row r="57" customFormat="false" ht="14.25" hidden="false" customHeight="true" outlineLevel="0" collapsed="false">
      <c r="D57" s="53"/>
      <c r="E57" s="309"/>
      <c r="F57" s="309"/>
      <c r="H57" s="337" t="s">
        <v>301</v>
      </c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</row>
    <row r="58" customFormat="false" ht="14.25" hidden="false" customHeight="true" outlineLevel="0" collapsed="false">
      <c r="D58" s="53"/>
      <c r="E58" s="309"/>
      <c r="F58" s="309"/>
      <c r="H58" s="219" t="s">
        <v>302</v>
      </c>
      <c r="I58" s="219"/>
      <c r="J58" s="219"/>
      <c r="K58" s="339" t="n">
        <f aca="false">+IF(K3=Summary!$V$19+1,0,J64)</f>
        <v>1322401.1875</v>
      </c>
      <c r="L58" s="339" t="n">
        <f aca="false">+IF(L3=Summary!$V$19+1,0,K64)</f>
        <v>1398122.27510063</v>
      </c>
      <c r="M58" s="339" t="n">
        <f aca="false">+IF(M3=Summary!$V$19+1,0,L64)</f>
        <v>1473859.60770126</v>
      </c>
      <c r="N58" s="339" t="n">
        <f aca="false">+IF(N3=Summary!$V$19+1,0,M64)</f>
        <v>1549596.94030188</v>
      </c>
      <c r="O58" s="339" t="n">
        <f aca="false">+IF(O3=Summary!$V$19+1,0,N64)</f>
        <v>1625334.27290251</v>
      </c>
      <c r="P58" s="339" t="n">
        <f aca="false">+IF(P3=Summary!$V$19+1,0,O64)</f>
        <v>0</v>
      </c>
      <c r="Q58" s="339" t="n">
        <f aca="false">+IF(Q3=Summary!$V$19+1,0,P64)</f>
        <v>0</v>
      </c>
      <c r="R58" s="339" t="n">
        <f aca="false">+IF(R3=Summary!$V$19+1,0,Q64)</f>
        <v>0</v>
      </c>
      <c r="S58" s="339" t="n">
        <f aca="false">+IF(S3=Summary!$V$19+1,0,R64)</f>
        <v>0</v>
      </c>
      <c r="T58" s="339" t="n">
        <f aca="false">+IF(T3=Summary!$V$19+1,0,S64)</f>
        <v>0</v>
      </c>
    </row>
    <row r="59" customFormat="false" ht="14.25" hidden="false" customHeight="true" outlineLevel="0" collapsed="false">
      <c r="D59" s="53"/>
      <c r="E59" s="309"/>
      <c r="F59" s="334" t="s">
        <v>303</v>
      </c>
      <c r="H59" s="219" t="s">
        <v>304</v>
      </c>
      <c r="I59" s="340" t="n">
        <f aca="false">+Summary!Q39</f>
        <v>0.08</v>
      </c>
      <c r="J59" s="219" t="n">
        <v>0</v>
      </c>
      <c r="K59" s="341" t="n">
        <f aca="false">+IF(K58&gt;0,($I$59*$E$37),0)</f>
        <v>105792.095</v>
      </c>
      <c r="L59" s="341" t="n">
        <f aca="false">+IF(L58&gt;0,($I$59*$E$37),0)</f>
        <v>105792.095</v>
      </c>
      <c r="M59" s="341" t="n">
        <f aca="false">+IF(M58&gt;0,($I$59*$E$37),0)</f>
        <v>105792.095</v>
      </c>
      <c r="N59" s="341" t="n">
        <f aca="false">+IF(N58&gt;0,($I$59*$E$37),0)</f>
        <v>105792.095</v>
      </c>
      <c r="O59" s="341" t="n">
        <f aca="false">+IF(O58&gt;0,($I$59*$E$37),0)</f>
        <v>105792.095</v>
      </c>
      <c r="P59" s="341" t="n">
        <f aca="false">+IF(P58&gt;0,($I$59*$E$37),0)</f>
        <v>0</v>
      </c>
      <c r="Q59" s="341" t="n">
        <f aca="false">+IF(Q58&gt;0,($I$59*$E$37),0)</f>
        <v>0</v>
      </c>
      <c r="R59" s="341" t="n">
        <f aca="false">+IF(R58&gt;0,($I$59*$E$37),0)</f>
        <v>0</v>
      </c>
      <c r="S59" s="341" t="n">
        <f aca="false">+IF(S58&gt;0,($I$59*$E$37),0)</f>
        <v>0</v>
      </c>
      <c r="T59" s="341" t="n">
        <f aca="false">+IF(T58&gt;0,($I$59*$E$37),0)</f>
        <v>0</v>
      </c>
    </row>
    <row r="60" customFormat="false" ht="14.25" hidden="false" customHeight="true" outlineLevel="0" collapsed="false">
      <c r="D60" s="53"/>
      <c r="E60" s="309"/>
      <c r="F60" s="309"/>
      <c r="H60" s="219" t="s">
        <v>305</v>
      </c>
      <c r="I60" s="342" t="n">
        <v>1</v>
      </c>
      <c r="J60" s="341" t="n">
        <f aca="false">+MIN(J58+J59,J54)</f>
        <v>-1322401.1875</v>
      </c>
      <c r="K60" s="341" t="n">
        <f aca="false">+MIN(J61+K59,K54)</f>
        <v>30071.0073993721</v>
      </c>
      <c r="L60" s="341" t="n">
        <f aca="false">+MIN(K61+L59,L54)</f>
        <v>30054.7623993721</v>
      </c>
      <c r="M60" s="341" t="n">
        <f aca="false">+MIN(L61+M59,M54)</f>
        <v>30054.7623993721</v>
      </c>
      <c r="N60" s="341" t="n">
        <f aca="false">+MIN(M61+N59,N54)</f>
        <v>30054.7623993732</v>
      </c>
      <c r="O60" s="341" t="n">
        <f aca="false">+MIN(N61+O59,O54)</f>
        <v>408725.180402511</v>
      </c>
      <c r="P60" s="341" t="n">
        <f aca="false">+MIN(O61+P59,P54)</f>
        <v>0</v>
      </c>
      <c r="Q60" s="341" t="n">
        <f aca="false">+MIN(P61+Q59,Q54)</f>
        <v>0</v>
      </c>
      <c r="R60" s="341" t="n">
        <f aca="false">+MIN(Q61+R59,R54)</f>
        <v>0</v>
      </c>
      <c r="S60" s="341" t="n">
        <f aca="false">+MIN(R61+S59,S54)</f>
        <v>0</v>
      </c>
      <c r="T60" s="341" t="n">
        <f aca="false">+MIN(S61+T59,T54)</f>
        <v>0</v>
      </c>
    </row>
    <row r="61" customFormat="false" ht="14.25" hidden="false" customHeight="true" outlineLevel="0" collapsed="false">
      <c r="D61" s="53"/>
      <c r="E61" s="309"/>
      <c r="F61" s="309"/>
      <c r="H61" s="343" t="s">
        <v>306</v>
      </c>
      <c r="I61" s="342"/>
      <c r="J61" s="341"/>
      <c r="K61" s="344" t="n">
        <f aca="false">J61+K59-K60</f>
        <v>75721.0876006279</v>
      </c>
      <c r="L61" s="344" t="n">
        <f aca="false">K61+L59-L60</f>
        <v>151458.420201256</v>
      </c>
      <c r="M61" s="344" t="n">
        <f aca="false">L61+M59-M60</f>
        <v>227195.752801884</v>
      </c>
      <c r="N61" s="344" t="n">
        <f aca="false">M61+N59-N60</f>
        <v>302933.085402511</v>
      </c>
      <c r="O61" s="344" t="n">
        <f aca="false">N61+O59-O60</f>
        <v>0</v>
      </c>
      <c r="P61" s="344" t="n">
        <f aca="false">O61+P59-P60</f>
        <v>0</v>
      </c>
      <c r="Q61" s="344" t="n">
        <f aca="false">P61+Q59-Q60</f>
        <v>0</v>
      </c>
      <c r="R61" s="344" t="n">
        <f aca="false">Q61+R59-R60</f>
        <v>0</v>
      </c>
      <c r="S61" s="344" t="n">
        <f aca="false">R61+S59-S60</f>
        <v>0</v>
      </c>
      <c r="T61" s="344" t="n">
        <f aca="false">S61+T59-T60</f>
        <v>0</v>
      </c>
    </row>
    <row r="62" customFormat="false" ht="14.25" hidden="false" customHeight="true" outlineLevel="0" collapsed="false">
      <c r="D62" s="53"/>
      <c r="E62" s="309"/>
      <c r="F62" s="309"/>
      <c r="H62" s="219" t="s">
        <v>307</v>
      </c>
      <c r="I62" s="219"/>
      <c r="J62" s="341" t="n">
        <f aca="false">+J54-J60</f>
        <v>0</v>
      </c>
      <c r="K62" s="341" t="n">
        <f aca="false">+K54-K60</f>
        <v>0</v>
      </c>
      <c r="L62" s="341" t="n">
        <f aca="false">+L54-L60</f>
        <v>0</v>
      </c>
      <c r="M62" s="341" t="n">
        <f aca="false">+M54-M60</f>
        <v>0</v>
      </c>
      <c r="N62" s="341" t="n">
        <f aca="false">+N54-N60</f>
        <v>0</v>
      </c>
      <c r="O62" s="341" t="n">
        <f aca="false">+O54-O60</f>
        <v>2275859.03610647</v>
      </c>
      <c r="P62" s="341" t="n">
        <f aca="false">+P54-P60</f>
        <v>0</v>
      </c>
      <c r="Q62" s="341" t="n">
        <f aca="false">+Q54-Q60</f>
        <v>0</v>
      </c>
      <c r="R62" s="341" t="n">
        <f aca="false">+R54-R60</f>
        <v>0</v>
      </c>
      <c r="S62" s="341" t="n">
        <f aca="false">+S54-S60</f>
        <v>0</v>
      </c>
      <c r="T62" s="341" t="n">
        <f aca="false">+T54-T60</f>
        <v>0</v>
      </c>
      <c r="V62" s="343"/>
      <c r="W62" s="345"/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</row>
    <row r="63" customFormat="false" ht="14.25" hidden="false" customHeight="true" outlineLevel="0" collapsed="false">
      <c r="H63" s="219" t="s">
        <v>308</v>
      </c>
      <c r="I63" s="342"/>
      <c r="J63" s="341" t="n">
        <v>0</v>
      </c>
      <c r="K63" s="341" t="n">
        <f aca="false">K60+K62</f>
        <v>30071.0073993721</v>
      </c>
      <c r="L63" s="341" t="n">
        <f aca="false">L60+L62</f>
        <v>30054.7623993721</v>
      </c>
      <c r="M63" s="341" t="n">
        <f aca="false">M60+M62</f>
        <v>30054.7623993721</v>
      </c>
      <c r="N63" s="341" t="n">
        <f aca="false">N60+N62</f>
        <v>30054.7623993732</v>
      </c>
      <c r="O63" s="341" t="n">
        <f aca="false">O60+O62</f>
        <v>2684584.21650898</v>
      </c>
      <c r="P63" s="341" t="n">
        <f aca="false">P60+P62</f>
        <v>0</v>
      </c>
      <c r="Q63" s="341" t="n">
        <f aca="false">Q60+Q62</f>
        <v>0</v>
      </c>
      <c r="R63" s="341" t="n">
        <f aca="false">R60+R62</f>
        <v>0</v>
      </c>
      <c r="S63" s="341" t="n">
        <f aca="false">S60+S62</f>
        <v>0</v>
      </c>
      <c r="T63" s="341" t="n">
        <f aca="false">T60+T62</f>
        <v>0</v>
      </c>
    </row>
    <row r="64" customFormat="false" ht="14.25" hidden="false" customHeight="true" outlineLevel="0" collapsed="false">
      <c r="D64" s="53"/>
      <c r="E64" s="309"/>
      <c r="F64" s="309"/>
      <c r="H64" s="219" t="s">
        <v>309</v>
      </c>
      <c r="I64" s="219"/>
      <c r="J64" s="347" t="n">
        <f aca="false">+SUM(J58:J59)-J60</f>
        <v>1322401.1875</v>
      </c>
      <c r="K64" s="347" t="n">
        <f aca="false">+SUM(K58:K59,K62)-K63</f>
        <v>1398122.27510063</v>
      </c>
      <c r="L64" s="347" t="n">
        <f aca="false">+SUM(L58:L59,L62)-L63</f>
        <v>1473859.60770126</v>
      </c>
      <c r="M64" s="347" t="n">
        <f aca="false">+SUM(M58:M59,M62)-M63</f>
        <v>1549596.94030188</v>
      </c>
      <c r="N64" s="347" t="n">
        <f aca="false">+SUM(N58:N59,N62)-N63</f>
        <v>1625334.27290251</v>
      </c>
      <c r="O64" s="347" t="n">
        <f aca="false">+SUM(O58:O59,O62)-O63</f>
        <v>1322401.1875</v>
      </c>
      <c r="P64" s="347" t="n">
        <f aca="false">+SUM(P58:P59,P62)-P63</f>
        <v>0</v>
      </c>
      <c r="Q64" s="347" t="n">
        <f aca="false">+SUM(Q58:Q59,Q62)-Q63</f>
        <v>0</v>
      </c>
      <c r="R64" s="347" t="n">
        <f aca="false">+SUM(R58:R59,R62)-R63</f>
        <v>0</v>
      </c>
      <c r="S64" s="347" t="n">
        <f aca="false">+SUM(S58:S59,S62)-S63</f>
        <v>0</v>
      </c>
      <c r="T64" s="347" t="n">
        <f aca="false">+SUM(T58:T59,T62)-T63</f>
        <v>0</v>
      </c>
    </row>
    <row r="65" customFormat="false" ht="14.25" hidden="false" customHeight="true" outlineLevel="0" collapsed="false">
      <c r="D65" s="53"/>
      <c r="E65" s="309"/>
      <c r="F65" s="30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</row>
    <row r="66" customFormat="false" ht="14.25" hidden="false" customHeight="true" outlineLevel="0" collapsed="false">
      <c r="D66" s="53"/>
      <c r="E66" s="309"/>
      <c r="F66" s="309"/>
    </row>
    <row r="67" customFormat="false" ht="14.25" hidden="false" customHeight="true" outlineLevel="0" collapsed="false">
      <c r="D67" s="53"/>
      <c r="E67" s="309"/>
      <c r="F67" s="309"/>
      <c r="H67" s="219"/>
      <c r="I67" s="219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</row>
    <row r="68" customFormat="false" ht="14.25" hidden="false" customHeight="true" outlineLevel="0" collapsed="false">
      <c r="D68" s="53"/>
      <c r="E68" s="309"/>
      <c r="F68" s="309"/>
      <c r="H68" s="219"/>
      <c r="I68" s="219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</row>
    <row r="69" customFormat="false" ht="14.25" hidden="false" customHeight="true" outlineLevel="0" collapsed="false">
      <c r="D69" s="53"/>
      <c r="E69" s="309"/>
      <c r="F69" s="309"/>
      <c r="H69" s="337" t="s">
        <v>310</v>
      </c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</row>
    <row r="70" customFormat="false" ht="14.25" hidden="false" customHeight="true" outlineLevel="0" collapsed="false">
      <c r="D70" s="53"/>
      <c r="E70" s="309"/>
      <c r="F70" s="309"/>
      <c r="H70" s="219" t="s">
        <v>311</v>
      </c>
      <c r="I70" s="348" t="n">
        <f aca="false">1-I71</f>
        <v>0.8</v>
      </c>
      <c r="J70" s="341" t="n">
        <f aca="false">+$I$70*J62</f>
        <v>0</v>
      </c>
      <c r="K70" s="341" t="n">
        <f aca="false">+$I$70*K62</f>
        <v>0</v>
      </c>
      <c r="L70" s="341" t="n">
        <f aca="false">+$I$70*L62</f>
        <v>0</v>
      </c>
      <c r="M70" s="341" t="n">
        <f aca="false">+$I$70*M62</f>
        <v>0</v>
      </c>
      <c r="N70" s="341" t="n">
        <f aca="false">+$I$70*N62</f>
        <v>0</v>
      </c>
      <c r="O70" s="341" t="n">
        <f aca="false">+$I$70*O62</f>
        <v>1820687.22888518</v>
      </c>
      <c r="P70" s="341" t="n">
        <f aca="false">+$I$70*P62</f>
        <v>0</v>
      </c>
      <c r="Q70" s="341" t="n">
        <f aca="false">+$I$70*Q62</f>
        <v>0</v>
      </c>
      <c r="R70" s="341" t="n">
        <f aca="false">+$I$70*R62</f>
        <v>0</v>
      </c>
      <c r="S70" s="341" t="n">
        <f aca="false">+$I$70*S62</f>
        <v>0</v>
      </c>
      <c r="T70" s="341" t="n">
        <f aca="false">+$I$70*T62</f>
        <v>0</v>
      </c>
    </row>
    <row r="71" customFormat="false" ht="14.25" hidden="false" customHeight="true" outlineLevel="0" collapsed="false">
      <c r="D71" s="53"/>
      <c r="E71" s="309"/>
      <c r="F71" s="309"/>
      <c r="H71" s="219" t="s">
        <v>312</v>
      </c>
      <c r="I71" s="340" t="n">
        <f aca="false">Summary!Q40</f>
        <v>0.2</v>
      </c>
      <c r="J71" s="341" t="n">
        <f aca="false">J62-J70</f>
        <v>0</v>
      </c>
      <c r="K71" s="341" t="n">
        <f aca="false">K62-K70</f>
        <v>0</v>
      </c>
      <c r="L71" s="341" t="n">
        <f aca="false">L62-L70</f>
        <v>0</v>
      </c>
      <c r="M71" s="341" t="n">
        <f aca="false">M62-M70</f>
        <v>0</v>
      </c>
      <c r="N71" s="341" t="n">
        <f aca="false">N62-N70</f>
        <v>0</v>
      </c>
      <c r="O71" s="341" t="n">
        <f aca="false">O62-O70</f>
        <v>455171.807221294</v>
      </c>
      <c r="P71" s="341" t="n">
        <f aca="false">P62-P70</f>
        <v>0</v>
      </c>
      <c r="Q71" s="341" t="n">
        <f aca="false">Q62-Q70</f>
        <v>0</v>
      </c>
      <c r="R71" s="341" t="n">
        <f aca="false">R62-R70</f>
        <v>0</v>
      </c>
      <c r="S71" s="341" t="n">
        <f aca="false">S62-S70</f>
        <v>0</v>
      </c>
      <c r="T71" s="341" t="n">
        <f aca="false">T62-T70</f>
        <v>0</v>
      </c>
    </row>
    <row r="72" customFormat="false" ht="14.25" hidden="false" customHeight="true" outlineLevel="0" collapsed="false">
      <c r="D72" s="53"/>
      <c r="E72" s="309"/>
      <c r="F72" s="30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</row>
    <row r="73" customFormat="false" ht="14.25" hidden="false" customHeight="true" outlineLevel="0" collapsed="false">
      <c r="D73" s="53"/>
      <c r="E73" s="309"/>
      <c r="F73" s="30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</row>
    <row r="74" customFormat="false" ht="14.25" hidden="false" customHeight="true" outlineLevel="0" collapsed="false">
      <c r="D74" s="53"/>
      <c r="E74" s="309"/>
      <c r="F74" s="309"/>
      <c r="H74" s="335" t="s">
        <v>313</v>
      </c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</row>
    <row r="75" customFormat="false" ht="14.25" hidden="false" customHeight="true" outlineLevel="0" collapsed="false">
      <c r="D75" s="53"/>
      <c r="E75" s="309"/>
      <c r="F75" s="309"/>
      <c r="H75" s="349" t="s">
        <v>301</v>
      </c>
      <c r="I75" s="340" t="n">
        <f aca="false">Summary!$Q$28</f>
        <v>0.9</v>
      </c>
      <c r="J75" s="341" t="n">
        <f aca="false">$I$75*J60</f>
        <v>-1190161.06875</v>
      </c>
      <c r="K75" s="341" t="n">
        <f aca="false">$I$75*K60</f>
        <v>27063.9066594349</v>
      </c>
      <c r="L75" s="341" t="n">
        <f aca="false">$I$75*L60</f>
        <v>27049.2861594349</v>
      </c>
      <c r="M75" s="341" t="n">
        <f aca="false">$I$75*M60</f>
        <v>27049.2861594349</v>
      </c>
      <c r="N75" s="341" t="n">
        <f aca="false">$I$75*N60</f>
        <v>27049.2861594359</v>
      </c>
      <c r="O75" s="341" t="n">
        <f aca="false">$I$75*O60</f>
        <v>367852.66236226</v>
      </c>
      <c r="P75" s="341" t="n">
        <f aca="false">$I$75*P60</f>
        <v>0</v>
      </c>
      <c r="Q75" s="341" t="n">
        <f aca="false">$I$75*Q60</f>
        <v>0</v>
      </c>
      <c r="R75" s="341" t="n">
        <f aca="false">$I$75*R60</f>
        <v>0</v>
      </c>
      <c r="S75" s="341" t="n">
        <f aca="false">$I$75*S60</f>
        <v>0</v>
      </c>
      <c r="T75" s="341" t="n">
        <f aca="false">$I$75*T60</f>
        <v>0</v>
      </c>
    </row>
    <row r="76" customFormat="false" ht="14.25" hidden="false" customHeight="true" outlineLevel="0" collapsed="false">
      <c r="D76" s="53"/>
      <c r="E76" s="309"/>
      <c r="F76" s="309"/>
      <c r="H76" s="349" t="s">
        <v>314</v>
      </c>
      <c r="I76" s="350" t="n">
        <f aca="false">I75</f>
        <v>0.9</v>
      </c>
      <c r="J76" s="341" t="n">
        <f aca="false">$I$76*J70</f>
        <v>0</v>
      </c>
      <c r="K76" s="341" t="n">
        <f aca="false">$I$76*K70</f>
        <v>0</v>
      </c>
      <c r="L76" s="341" t="n">
        <f aca="false">$I$76*L70</f>
        <v>0</v>
      </c>
      <c r="M76" s="341" t="n">
        <f aca="false">$I$76*M70</f>
        <v>0</v>
      </c>
      <c r="N76" s="341" t="n">
        <f aca="false">$I$76*N70</f>
        <v>0</v>
      </c>
      <c r="O76" s="341" t="n">
        <f aca="false">$I$76*O70</f>
        <v>1638618.50599666</v>
      </c>
      <c r="P76" s="341" t="n">
        <f aca="false">$I$76*P70</f>
        <v>0</v>
      </c>
      <c r="Q76" s="341" t="n">
        <f aca="false">$I$76*Q70</f>
        <v>0</v>
      </c>
      <c r="R76" s="341" t="n">
        <f aca="false">$I$76*R70</f>
        <v>0</v>
      </c>
      <c r="S76" s="341" t="n">
        <f aca="false">$I$76*S70</f>
        <v>0</v>
      </c>
      <c r="T76" s="341" t="n">
        <f aca="false">$I$76*T70</f>
        <v>0</v>
      </c>
    </row>
    <row r="77" customFormat="false" ht="14.25" hidden="false" customHeight="true" outlineLevel="0" collapsed="false">
      <c r="D77" s="53"/>
      <c r="E77" s="309"/>
      <c r="F77" s="309"/>
      <c r="H77" s="351" t="s">
        <v>315</v>
      </c>
      <c r="I77" s="214"/>
      <c r="J77" s="352" t="n">
        <f aca="false">SUM(J75:J76)</f>
        <v>-1190161.06875</v>
      </c>
      <c r="K77" s="353" t="n">
        <f aca="false">SUM(K75:K76)</f>
        <v>27063.9066594349</v>
      </c>
      <c r="L77" s="353" t="n">
        <f aca="false">SUM(L75:L76)</f>
        <v>27049.2861594349</v>
      </c>
      <c r="M77" s="353" t="n">
        <f aca="false">SUM(M75:M76)</f>
        <v>27049.2861594349</v>
      </c>
      <c r="N77" s="353" t="n">
        <f aca="false">SUM(N75:N76)</f>
        <v>27049.2861594359</v>
      </c>
      <c r="O77" s="353" t="n">
        <f aca="false">SUM(O75:O76)</f>
        <v>2006471.16835892</v>
      </c>
      <c r="P77" s="353" t="n">
        <f aca="false">SUM(P75:P76)</f>
        <v>0</v>
      </c>
      <c r="Q77" s="353" t="n">
        <f aca="false">SUM(Q75:Q76)</f>
        <v>0</v>
      </c>
      <c r="R77" s="353" t="n">
        <f aca="false">SUM(R75:R76)</f>
        <v>0</v>
      </c>
      <c r="S77" s="353" t="n">
        <f aca="false">SUM(S75:S76)</f>
        <v>0</v>
      </c>
      <c r="T77" s="353" t="n">
        <f aca="false">SUM(T75:T76)</f>
        <v>0</v>
      </c>
    </row>
    <row r="78" customFormat="false" ht="14.25" hidden="false" customHeight="true" outlineLevel="0" collapsed="false">
      <c r="D78" s="53"/>
      <c r="E78" s="309"/>
      <c r="F78" s="309"/>
      <c r="H78" s="354" t="s">
        <v>316</v>
      </c>
      <c r="I78" s="338"/>
      <c r="J78" s="355" t="n">
        <f aca="false">+J77</f>
        <v>-1190161.06875</v>
      </c>
      <c r="K78" s="356" t="n">
        <f aca="false">+K77+J78</f>
        <v>-1163097.16209057</v>
      </c>
      <c r="L78" s="356" t="n">
        <f aca="false">+L77+K78</f>
        <v>-1136047.87593113</v>
      </c>
      <c r="M78" s="356" t="n">
        <f aca="false">+M77+L78</f>
        <v>-1108998.5897717</v>
      </c>
      <c r="N78" s="356" t="n">
        <f aca="false">+N77+M78</f>
        <v>-1081949.30361226</v>
      </c>
      <c r="O78" s="356" t="n">
        <f aca="false">+O77+N78</f>
        <v>924521.864746658</v>
      </c>
      <c r="P78" s="356" t="n">
        <f aca="false">+P77+O78</f>
        <v>924521.864746658</v>
      </c>
      <c r="Q78" s="356" t="n">
        <f aca="false">+Q77+P78</f>
        <v>924521.864746658</v>
      </c>
      <c r="R78" s="356" t="n">
        <f aca="false">+R77+Q78</f>
        <v>924521.864746658</v>
      </c>
      <c r="S78" s="356" t="n">
        <f aca="false">+S77+R78</f>
        <v>924521.864746658</v>
      </c>
      <c r="T78" s="356" t="n">
        <f aca="false">+T77+S78</f>
        <v>924521.864746658</v>
      </c>
    </row>
    <row r="79" customFormat="false" ht="14.25" hidden="false" customHeight="true" outlineLevel="0" collapsed="false">
      <c r="D79" s="53"/>
      <c r="E79" s="309"/>
      <c r="F79" s="309"/>
      <c r="H79" s="219"/>
      <c r="I79" s="219"/>
      <c r="J79" s="219"/>
      <c r="K79" s="357"/>
      <c r="L79" s="357"/>
      <c r="M79" s="357"/>
      <c r="N79" s="357"/>
      <c r="O79" s="357"/>
      <c r="P79" s="357"/>
      <c r="Q79" s="357"/>
      <c r="R79" s="357"/>
      <c r="S79" s="357"/>
      <c r="T79" s="357"/>
    </row>
    <row r="80" customFormat="false" ht="14.25" hidden="false" customHeight="true" outlineLevel="0" collapsed="false">
      <c r="D80" s="53"/>
      <c r="E80" s="309"/>
      <c r="F80" s="309"/>
      <c r="H80" s="351" t="s">
        <v>227</v>
      </c>
      <c r="I80" s="358" t="n">
        <f aca="false">IRR(J77:T77)</f>
        <v>0.125901043877015</v>
      </c>
      <c r="J80" s="219"/>
      <c r="K80" s="359"/>
      <c r="L80" s="357"/>
      <c r="M80" s="357"/>
      <c r="N80" s="357"/>
      <c r="O80" s="357"/>
      <c r="P80" s="357"/>
      <c r="Q80" s="357"/>
      <c r="R80" s="357"/>
      <c r="S80" s="357"/>
      <c r="T80" s="357"/>
    </row>
    <row r="81" customFormat="false" ht="14.25" hidden="false" customHeight="true" outlineLevel="0" collapsed="false">
      <c r="D81" s="53"/>
      <c r="E81" s="309"/>
      <c r="F81" s="309"/>
      <c r="H81" s="246" t="s">
        <v>231</v>
      </c>
      <c r="I81" s="360" t="n">
        <f aca="false">+I82/I83+1</f>
        <v>1.77680398815067</v>
      </c>
      <c r="J81" s="219"/>
      <c r="K81" s="361"/>
      <c r="L81" s="219"/>
      <c r="M81" s="219"/>
      <c r="N81" s="219"/>
      <c r="O81" s="219"/>
      <c r="P81" s="219"/>
      <c r="Q81" s="219"/>
      <c r="R81" s="219"/>
      <c r="S81" s="219"/>
      <c r="T81" s="219"/>
    </row>
    <row r="82" customFormat="false" ht="14.25" hidden="false" customHeight="true" outlineLevel="0" collapsed="false">
      <c r="D82" s="53"/>
      <c r="E82" s="309"/>
      <c r="F82" s="309"/>
      <c r="H82" s="246" t="s">
        <v>235</v>
      </c>
      <c r="I82" s="362" t="n">
        <f aca="false">+SUM(J77:T77)</f>
        <v>924521.864746658</v>
      </c>
      <c r="J82" s="219"/>
      <c r="K82" s="363"/>
      <c r="L82" s="219"/>
      <c r="M82" s="219"/>
      <c r="N82" s="219"/>
      <c r="O82" s="219"/>
      <c r="P82" s="219"/>
      <c r="Q82" s="219"/>
      <c r="R82" s="219"/>
      <c r="S82" s="219"/>
      <c r="T82" s="219"/>
    </row>
    <row r="83" customFormat="false" ht="14.25" hidden="false" customHeight="true" outlineLevel="0" collapsed="false">
      <c r="D83" s="53"/>
      <c r="E83" s="309"/>
      <c r="F83" s="309"/>
      <c r="H83" s="354" t="s">
        <v>237</v>
      </c>
      <c r="I83" s="364" t="n">
        <f aca="false">-MIN(J78:T78)</f>
        <v>1190161.06875</v>
      </c>
      <c r="J83" s="219"/>
      <c r="K83" s="363"/>
      <c r="L83" s="219"/>
      <c r="M83" s="219"/>
      <c r="N83" s="219"/>
      <c r="O83" s="219"/>
      <c r="P83" s="219"/>
      <c r="Q83" s="219"/>
      <c r="R83" s="219"/>
      <c r="S83" s="219"/>
      <c r="T83" s="219"/>
    </row>
    <row r="84" customFormat="false" ht="14.25" hidden="false" customHeight="true" outlineLevel="0" collapsed="false">
      <c r="D84" s="53"/>
      <c r="E84" s="309"/>
      <c r="F84" s="309"/>
      <c r="H84" s="219"/>
      <c r="I84" s="219"/>
      <c r="J84" s="219"/>
      <c r="K84" s="365"/>
      <c r="L84" s="219"/>
      <c r="M84" s="219"/>
      <c r="N84" s="219"/>
      <c r="O84" s="219"/>
      <c r="P84" s="219"/>
      <c r="Q84" s="219"/>
      <c r="R84" s="219"/>
      <c r="S84" s="219"/>
      <c r="T84" s="219"/>
    </row>
    <row r="85" customFormat="false" ht="14.25" hidden="false" customHeight="true" outlineLevel="0" collapsed="false">
      <c r="D85" s="53"/>
      <c r="E85" s="309"/>
      <c r="F85" s="309"/>
      <c r="H85" s="335" t="s">
        <v>317</v>
      </c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</row>
    <row r="86" customFormat="false" ht="14.25" hidden="false" customHeight="true" outlineLevel="0" collapsed="false">
      <c r="D86" s="53"/>
      <c r="E86" s="309"/>
      <c r="F86" s="309"/>
      <c r="H86" s="349" t="s">
        <v>301</v>
      </c>
      <c r="I86" s="340" t="n">
        <f aca="false">Summary!Q29</f>
        <v>0.1</v>
      </c>
      <c r="J86" s="341" t="n">
        <f aca="false">$I$86*J60</f>
        <v>-132240.11875</v>
      </c>
      <c r="K86" s="341" t="n">
        <f aca="false">$I$86*K60</f>
        <v>3007.10073993721</v>
      </c>
      <c r="L86" s="341" t="n">
        <f aca="false">$I$86*L60</f>
        <v>3005.47623993721</v>
      </c>
      <c r="M86" s="341" t="n">
        <f aca="false">$I$86*M60</f>
        <v>3005.47623993721</v>
      </c>
      <c r="N86" s="341" t="n">
        <f aca="false">$I$86*N60</f>
        <v>3005.47623993732</v>
      </c>
      <c r="O86" s="341" t="n">
        <f aca="false">$I$86*O60</f>
        <v>40872.518040251</v>
      </c>
      <c r="P86" s="341" t="n">
        <f aca="false">$I$86*P60</f>
        <v>0</v>
      </c>
      <c r="Q86" s="341" t="n">
        <f aca="false">$I$86*Q60</f>
        <v>0</v>
      </c>
      <c r="R86" s="341" t="n">
        <f aca="false">$I$86*R60</f>
        <v>0</v>
      </c>
      <c r="S86" s="341" t="n">
        <f aca="false">$I$86*S60</f>
        <v>0</v>
      </c>
      <c r="T86" s="341" t="n">
        <f aca="false">$I$86*T60</f>
        <v>0</v>
      </c>
    </row>
    <row r="87" customFormat="false" ht="14.25" hidden="false" customHeight="true" outlineLevel="0" collapsed="false">
      <c r="D87" s="53"/>
      <c r="E87" s="309"/>
      <c r="F87" s="309"/>
      <c r="H87" s="349" t="s">
        <v>314</v>
      </c>
      <c r="I87" s="350" t="n">
        <f aca="false">+I86</f>
        <v>0.1</v>
      </c>
      <c r="J87" s="341" t="n">
        <f aca="false">$I$87*J70</f>
        <v>0</v>
      </c>
      <c r="K87" s="341" t="n">
        <f aca="false">$I$87*K70</f>
        <v>0</v>
      </c>
      <c r="L87" s="341" t="n">
        <f aca="false">$I$87*L70</f>
        <v>0</v>
      </c>
      <c r="M87" s="341" t="n">
        <f aca="false">$I$87*M70</f>
        <v>0</v>
      </c>
      <c r="N87" s="341" t="n">
        <f aca="false">$I$87*N70</f>
        <v>0</v>
      </c>
      <c r="O87" s="341" t="n">
        <f aca="false">$I$87*O70</f>
        <v>182068.722888518</v>
      </c>
      <c r="P87" s="341" t="n">
        <f aca="false">$I$87*P70</f>
        <v>0</v>
      </c>
      <c r="Q87" s="341" t="n">
        <f aca="false">$I$87*Q70</f>
        <v>0</v>
      </c>
      <c r="R87" s="341" t="n">
        <f aca="false">$I$87*R70</f>
        <v>0</v>
      </c>
      <c r="S87" s="341" t="n">
        <f aca="false">$I$87*S70</f>
        <v>0</v>
      </c>
      <c r="T87" s="341" t="n">
        <f aca="false">$I$87*T70</f>
        <v>0</v>
      </c>
    </row>
    <row r="88" customFormat="false" ht="14.25" hidden="false" customHeight="true" outlineLevel="0" collapsed="false">
      <c r="D88" s="53"/>
      <c r="E88" s="309"/>
      <c r="F88" s="309"/>
      <c r="H88" s="349" t="s">
        <v>243</v>
      </c>
      <c r="I88" s="219"/>
      <c r="J88" s="341" t="n">
        <f aca="false">J71</f>
        <v>0</v>
      </c>
      <c r="K88" s="341" t="n">
        <f aca="false">K71</f>
        <v>0</v>
      </c>
      <c r="L88" s="341" t="n">
        <f aca="false">L71</f>
        <v>0</v>
      </c>
      <c r="M88" s="341" t="n">
        <f aca="false">M71</f>
        <v>0</v>
      </c>
      <c r="N88" s="341" t="n">
        <f aca="false">N71</f>
        <v>0</v>
      </c>
      <c r="O88" s="341" t="n">
        <f aca="false">O71</f>
        <v>455171.807221294</v>
      </c>
      <c r="P88" s="341" t="n">
        <f aca="false">P71</f>
        <v>0</v>
      </c>
      <c r="Q88" s="341" t="n">
        <f aca="false">Q71</f>
        <v>0</v>
      </c>
      <c r="R88" s="341" t="n">
        <f aca="false">R71</f>
        <v>0</v>
      </c>
      <c r="S88" s="341" t="n">
        <f aca="false">S71</f>
        <v>0</v>
      </c>
      <c r="T88" s="341" t="n">
        <f aca="false">T71</f>
        <v>0</v>
      </c>
    </row>
    <row r="89" customFormat="false" ht="14.25" hidden="false" customHeight="true" outlineLevel="0" collapsed="false">
      <c r="D89" s="53"/>
      <c r="E89" s="309"/>
      <c r="F89" s="309"/>
      <c r="H89" s="351" t="s">
        <v>318</v>
      </c>
      <c r="I89" s="214"/>
      <c r="J89" s="352" t="n">
        <f aca="false">SUM(J86:J88)</f>
        <v>-132240.11875</v>
      </c>
      <c r="K89" s="353" t="n">
        <f aca="false">SUM(K86:K88)</f>
        <v>3007.10073993721</v>
      </c>
      <c r="L89" s="353" t="n">
        <f aca="false">SUM(L86:L88)</f>
        <v>3005.47623993721</v>
      </c>
      <c r="M89" s="353" t="n">
        <f aca="false">SUM(M86:M88)</f>
        <v>3005.47623993721</v>
      </c>
      <c r="N89" s="353" t="n">
        <f aca="false">SUM(N86:N88)</f>
        <v>3005.47623993732</v>
      </c>
      <c r="O89" s="353" t="n">
        <f aca="false">SUM(O86:O88)</f>
        <v>678113.048150063</v>
      </c>
      <c r="P89" s="353" t="n">
        <f aca="false">SUM(P86:P88)</f>
        <v>0</v>
      </c>
      <c r="Q89" s="353" t="n">
        <f aca="false">SUM(Q86:Q88)</f>
        <v>0</v>
      </c>
      <c r="R89" s="353" t="n">
        <f aca="false">SUM(R86:R88)</f>
        <v>0</v>
      </c>
      <c r="S89" s="353" t="n">
        <f aca="false">SUM(S86:S88)</f>
        <v>0</v>
      </c>
      <c r="T89" s="353" t="n">
        <f aca="false">SUM(T86:T88)</f>
        <v>0</v>
      </c>
    </row>
    <row r="90" customFormat="false" ht="14.25" hidden="false" customHeight="true" outlineLevel="0" collapsed="false">
      <c r="D90" s="53"/>
      <c r="E90" s="309"/>
      <c r="F90" s="309"/>
      <c r="H90" s="354" t="s">
        <v>319</v>
      </c>
      <c r="I90" s="338"/>
      <c r="J90" s="355" t="n">
        <f aca="false">+J89</f>
        <v>-132240.11875</v>
      </c>
      <c r="K90" s="356" t="n">
        <f aca="false">+K89+J90</f>
        <v>-129233.018010063</v>
      </c>
      <c r="L90" s="356" t="n">
        <f aca="false">+L89+K90</f>
        <v>-126227.541770126</v>
      </c>
      <c r="M90" s="356" t="n">
        <f aca="false">+M89+L90</f>
        <v>-123222.065530188</v>
      </c>
      <c r="N90" s="356" t="n">
        <f aca="false">+N89+M90</f>
        <v>-120216.589290251</v>
      </c>
      <c r="O90" s="356" t="n">
        <f aca="false">+O89+N90</f>
        <v>557896.458859812</v>
      </c>
      <c r="P90" s="356" t="n">
        <f aca="false">+P89+O90</f>
        <v>557896.458859812</v>
      </c>
      <c r="Q90" s="356" t="n">
        <f aca="false">+Q89+P90</f>
        <v>557896.458859812</v>
      </c>
      <c r="R90" s="356" t="n">
        <f aca="false">+R89+Q90</f>
        <v>557896.458859812</v>
      </c>
      <c r="S90" s="356" t="n">
        <f aca="false">+S89+R90</f>
        <v>557896.458859812</v>
      </c>
      <c r="T90" s="356" t="n">
        <f aca="false">+T89+S90</f>
        <v>557896.458859812</v>
      </c>
    </row>
    <row r="91" customFormat="false" ht="14.25" hidden="false" customHeight="true" outlineLevel="0" collapsed="false">
      <c r="D91" s="53"/>
      <c r="E91" s="309"/>
      <c r="F91" s="309"/>
      <c r="H91" s="219"/>
      <c r="I91" s="219"/>
      <c r="J91" s="219"/>
      <c r="K91" s="219"/>
      <c r="L91" s="219"/>
      <c r="M91" s="366"/>
      <c r="N91" s="367"/>
      <c r="O91" s="219"/>
      <c r="P91" s="219"/>
      <c r="Q91" s="219"/>
      <c r="R91" s="219"/>
      <c r="S91" s="219"/>
      <c r="T91" s="219"/>
    </row>
    <row r="92" customFormat="false" ht="14.25" hidden="false" customHeight="true" outlineLevel="0" collapsed="false">
      <c r="D92" s="53"/>
      <c r="E92" s="309"/>
      <c r="F92" s="309"/>
      <c r="H92" s="351" t="s">
        <v>238</v>
      </c>
      <c r="I92" s="358" t="n">
        <f aca="false">IRR(J89:T89)</f>
        <v>0.398702744961219</v>
      </c>
      <c r="J92" s="219"/>
      <c r="K92" s="219"/>
      <c r="L92" s="368" t="s">
        <v>320</v>
      </c>
      <c r="M92" s="369" t="n">
        <f aca="false">+I92</f>
        <v>0.398702744961219</v>
      </c>
      <c r="N92" s="219"/>
      <c r="O92" s="370"/>
      <c r="P92" s="324"/>
      <c r="Q92" s="324"/>
      <c r="R92" s="219"/>
      <c r="S92" s="219"/>
      <c r="T92" s="219"/>
    </row>
    <row r="93" customFormat="false" ht="14.25" hidden="false" customHeight="true" outlineLevel="0" collapsed="false">
      <c r="D93" s="53"/>
      <c r="E93" s="309"/>
      <c r="F93" s="309"/>
      <c r="H93" s="246" t="s">
        <v>239</v>
      </c>
      <c r="I93" s="360" t="n">
        <f aca="false">+I94/I95+1</f>
        <v>5.21881395852733</v>
      </c>
      <c r="J93" s="219"/>
      <c r="K93" s="219"/>
      <c r="L93" s="368" t="s">
        <v>321</v>
      </c>
      <c r="M93" s="371" t="n">
        <f aca="false">+I95</f>
        <v>132240.11875</v>
      </c>
      <c r="N93" s="219"/>
      <c r="O93" s="370"/>
      <c r="P93" s="324"/>
      <c r="Q93" s="324"/>
      <c r="R93" s="219"/>
      <c r="S93" s="219"/>
      <c r="T93" s="219"/>
    </row>
    <row r="94" customFormat="false" ht="14.25" hidden="false" customHeight="true" outlineLevel="0" collapsed="false">
      <c r="D94" s="53"/>
      <c r="E94" s="309"/>
      <c r="F94" s="309"/>
      <c r="H94" s="246" t="s">
        <v>240</v>
      </c>
      <c r="I94" s="362" t="n">
        <f aca="false">+SUM(J89:T89)</f>
        <v>557896.458859812</v>
      </c>
      <c r="J94" s="219"/>
      <c r="K94" s="219"/>
      <c r="L94" s="368" t="s">
        <v>322</v>
      </c>
      <c r="M94" s="372" t="n">
        <f aca="false">I94-I96</f>
        <v>102724.651638518</v>
      </c>
      <c r="N94" s="219"/>
      <c r="O94" s="370"/>
      <c r="P94" s="324"/>
      <c r="Q94" s="324"/>
      <c r="R94" s="219"/>
      <c r="S94" s="219"/>
      <c r="T94" s="219"/>
    </row>
    <row r="95" customFormat="false" ht="14.25" hidden="false" customHeight="true" outlineLevel="0" collapsed="false">
      <c r="D95" s="53"/>
      <c r="E95" s="309"/>
      <c r="F95" s="309"/>
      <c r="H95" s="246" t="s">
        <v>242</v>
      </c>
      <c r="I95" s="362" t="n">
        <f aca="false">-MIN(J90:T90)</f>
        <v>132240.11875</v>
      </c>
      <c r="J95" s="219"/>
      <c r="K95" s="219"/>
      <c r="L95" s="368" t="s">
        <v>323</v>
      </c>
      <c r="M95" s="372" t="n">
        <f aca="false">I96</f>
        <v>455171.807221294</v>
      </c>
      <c r="N95" s="219"/>
      <c r="O95" s="370"/>
      <c r="P95" s="324"/>
      <c r="Q95" s="324"/>
      <c r="R95" s="373"/>
      <c r="S95" s="219"/>
      <c r="T95" s="219"/>
    </row>
    <row r="96" customFormat="false" ht="14.25" hidden="false" customHeight="true" outlineLevel="0" collapsed="false">
      <c r="D96" s="53"/>
      <c r="E96" s="309"/>
      <c r="F96" s="309"/>
      <c r="H96" s="354" t="s">
        <v>243</v>
      </c>
      <c r="I96" s="374" t="n">
        <f aca="false">+SUM(J88:T88)</f>
        <v>455171.807221294</v>
      </c>
      <c r="J96" s="219"/>
      <c r="K96" s="341"/>
      <c r="L96" s="368" t="s">
        <v>324</v>
      </c>
      <c r="M96" s="375" t="n">
        <f aca="false">+I93</f>
        <v>5.21881395852733</v>
      </c>
      <c r="N96" s="219"/>
      <c r="O96" s="370"/>
      <c r="P96" s="324"/>
      <c r="Q96" s="324"/>
      <c r="R96" s="219"/>
      <c r="S96" s="341"/>
      <c r="T96" s="341"/>
    </row>
    <row r="97" s="310" customFormat="true" ht="14.25" hidden="false" customHeight="true" outlineLevel="0" collapsed="false">
      <c r="D97" s="376"/>
      <c r="E97" s="313"/>
      <c r="F97" s="313"/>
      <c r="H97" s="377"/>
      <c r="I97" s="378"/>
      <c r="J97" s="219"/>
      <c r="K97" s="341"/>
      <c r="L97" s="368"/>
      <c r="M97" s="375"/>
      <c r="N97" s="219"/>
      <c r="O97" s="370"/>
      <c r="P97" s="324"/>
      <c r="Q97" s="324"/>
      <c r="R97" s="219"/>
      <c r="S97" s="341"/>
      <c r="T97" s="341"/>
    </row>
    <row r="98" s="310" customFormat="true" ht="14.25" hidden="false" customHeight="true" outlineLevel="0" collapsed="false">
      <c r="D98" s="376"/>
      <c r="E98" s="313"/>
      <c r="F98" s="313"/>
      <c r="H98" s="219" t="s">
        <v>325</v>
      </c>
      <c r="I98" s="379" t="n">
        <f aca="false">I94+I82</f>
        <v>1482418.32360647</v>
      </c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</row>
    <row r="99" customFormat="false" ht="14.25" hidden="false" customHeight="true" outlineLevel="0" collapsed="false">
      <c r="D99" s="53"/>
      <c r="E99" s="309"/>
      <c r="F99" s="309"/>
      <c r="H99" s="219"/>
      <c r="I99" s="219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</row>
    <row r="100" customFormat="false" ht="14.25" hidden="false" customHeight="true" outlineLevel="0" collapsed="false">
      <c r="D100" s="53"/>
      <c r="E100" s="309"/>
      <c r="F100" s="309"/>
      <c r="H100" s="343" t="s">
        <v>326</v>
      </c>
      <c r="I100" s="343"/>
      <c r="J100" s="344"/>
      <c r="K100" s="344" t="n">
        <f aca="false">K54-K60-K70-K71</f>
        <v>0</v>
      </c>
      <c r="L100" s="344" t="n">
        <f aca="false">L54-L60-L70-L71</f>
        <v>0</v>
      </c>
      <c r="M100" s="344" t="n">
        <f aca="false">M54-M60-M70-M71</f>
        <v>0</v>
      </c>
      <c r="N100" s="344" t="n">
        <f aca="false">N54-N60-N70-N71</f>
        <v>0</v>
      </c>
      <c r="O100" s="344" t="n">
        <f aca="false">O54-O60-O70-O71</f>
        <v>0</v>
      </c>
      <c r="P100" s="344" t="n">
        <f aca="false">P54-P60-P70-P71</f>
        <v>0</v>
      </c>
      <c r="Q100" s="344" t="n">
        <f aca="false">Q54-Q60-Q70-Q71</f>
        <v>0</v>
      </c>
      <c r="R100" s="344" t="n">
        <f aca="false">R54-R60-R70-R71</f>
        <v>0</v>
      </c>
      <c r="S100" s="344" t="n">
        <f aca="false">S54-S60-S70-S71</f>
        <v>0</v>
      </c>
      <c r="T100" s="344" t="n">
        <f aca="false">T54-T60-T70-T71</f>
        <v>0</v>
      </c>
    </row>
    <row r="101" customFormat="false" ht="14.25" hidden="false" customHeight="true" outlineLevel="0" collapsed="false">
      <c r="D101" s="53"/>
      <c r="E101" s="309"/>
      <c r="F101" s="309"/>
      <c r="H101" s="343" t="s">
        <v>327</v>
      </c>
      <c r="I101" s="343"/>
      <c r="J101" s="344"/>
      <c r="K101" s="344" t="n">
        <f aca="false">K77+K89-K54</f>
        <v>0</v>
      </c>
      <c r="L101" s="344" t="n">
        <f aca="false">L77+L89-L54</f>
        <v>0</v>
      </c>
      <c r="M101" s="344" t="n">
        <f aca="false">M77+M89-M54</f>
        <v>0</v>
      </c>
      <c r="N101" s="344" t="n">
        <f aca="false">N77+N89-N54</f>
        <v>0</v>
      </c>
      <c r="O101" s="344" t="n">
        <f aca="false">O77+O89-O54</f>
        <v>0</v>
      </c>
      <c r="P101" s="344" t="n">
        <f aca="false">P77+P89-P54</f>
        <v>0</v>
      </c>
      <c r="Q101" s="344" t="n">
        <f aca="false">Q77+Q89-Q54</f>
        <v>0</v>
      </c>
      <c r="R101" s="344" t="n">
        <f aca="false">R77+R89-R54</f>
        <v>0</v>
      </c>
      <c r="S101" s="344" t="n">
        <f aca="false">S77+S89-S54</f>
        <v>0</v>
      </c>
      <c r="T101" s="344" t="n">
        <f aca="false">T77+T89-T54</f>
        <v>0</v>
      </c>
    </row>
    <row r="102" customFormat="false" ht="14.25" hidden="false" customHeight="true" outlineLevel="0" collapsed="false">
      <c r="D102" s="53"/>
      <c r="E102" s="309"/>
      <c r="F102" s="309"/>
      <c r="H102" s="219"/>
      <c r="I102" s="219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</row>
    <row r="103" customFormat="false" ht="14.25" hidden="false" customHeight="true" outlineLevel="0" collapsed="false">
      <c r="D103" s="53"/>
      <c r="E103" s="309"/>
      <c r="F103" s="309"/>
      <c r="H103" s="219"/>
      <c r="I103" s="219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</row>
    <row r="104" customFormat="false" ht="14.25" hidden="false" customHeight="true" outlineLevel="0" collapsed="false">
      <c r="D104" s="53"/>
      <c r="E104" s="309"/>
      <c r="F104" s="309"/>
      <c r="H104" s="219"/>
      <c r="I104" s="219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</row>
    <row r="105" customFormat="false" ht="14.25" hidden="false" customHeight="true" outlineLevel="0" collapsed="false">
      <c r="D105" s="53"/>
      <c r="E105" s="309"/>
      <c r="F105" s="309"/>
      <c r="H105" s="219"/>
      <c r="I105" s="219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</row>
    <row r="106" customFormat="false" ht="14.25" hidden="false" customHeight="true" outlineLevel="0" collapsed="false">
      <c r="D106" s="53"/>
      <c r="E106" s="309"/>
      <c r="F106" s="309"/>
      <c r="H106" s="219"/>
      <c r="I106" s="219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</row>
    <row r="107" customFormat="false" ht="14.25" hidden="false" customHeight="true" outlineLevel="0" collapsed="false">
      <c r="D107" s="53"/>
      <c r="E107" s="309"/>
      <c r="F107" s="309"/>
      <c r="H107" s="219"/>
      <c r="I107" s="219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</row>
    <row r="108" customFormat="false" ht="14.25" hidden="false" customHeight="true" outlineLevel="0" collapsed="false">
      <c r="D108" s="53"/>
      <c r="E108" s="309"/>
      <c r="F108" s="309"/>
      <c r="H108" s="219"/>
      <c r="I108" s="219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</row>
    <row r="109" customFormat="false" ht="14.25" hidden="false" customHeight="true" outlineLevel="0" collapsed="false">
      <c r="D109" s="53"/>
      <c r="E109" s="309"/>
      <c r="F109" s="309"/>
      <c r="H109" s="219"/>
      <c r="I109" s="219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</row>
    <row r="110" customFormat="false" ht="14.25" hidden="false" customHeight="true" outlineLevel="0" collapsed="false">
      <c r="D110" s="53"/>
      <c r="E110" s="309"/>
      <c r="F110" s="309"/>
    </row>
    <row r="111" customFormat="false" ht="14.25" hidden="false" customHeight="true" outlineLevel="0" collapsed="false">
      <c r="D111" s="53"/>
      <c r="E111" s="309"/>
      <c r="F111" s="309"/>
      <c r="H111" s="380" t="s">
        <v>328</v>
      </c>
      <c r="I111" s="381"/>
      <c r="J111" s="382"/>
      <c r="K111" s="382"/>
      <c r="L111" s="382"/>
      <c r="M111" s="382"/>
      <c r="N111" s="382"/>
      <c r="O111" s="382"/>
      <c r="P111" s="382"/>
      <c r="Q111" s="382"/>
      <c r="R111" s="382"/>
      <c r="S111" s="382"/>
      <c r="T111" s="382"/>
    </row>
    <row r="112" customFormat="false" ht="14.25" hidden="false" customHeight="true" outlineLevel="0" collapsed="false">
      <c r="D112" s="53"/>
      <c r="E112" s="309"/>
      <c r="F112" s="309"/>
      <c r="H112" s="383" t="s">
        <v>302</v>
      </c>
      <c r="I112" s="384"/>
      <c r="J112" s="385" t="n">
        <v>0</v>
      </c>
      <c r="K112" s="386" t="n">
        <f aca="false">J118</f>
        <v>3967203.5625</v>
      </c>
      <c r="L112" s="386" t="n">
        <f aca="false">K118</f>
        <v>3903629.68335164</v>
      </c>
      <c r="M112" s="386" t="n">
        <f aca="false">L118</f>
        <v>3835923.50205863</v>
      </c>
      <c r="N112" s="386" t="n">
        <f aca="false">M118</f>
        <v>3763816.41898157</v>
      </c>
      <c r="O112" s="386" t="n">
        <f aca="false">N118</f>
        <v>3687022.37550451</v>
      </c>
      <c r="P112" s="386" t="n">
        <f aca="false">O118</f>
        <v>0</v>
      </c>
      <c r="Q112" s="386" t="n">
        <f aca="false">P118</f>
        <v>0</v>
      </c>
      <c r="R112" s="386" t="n">
        <f aca="false">Q118</f>
        <v>0</v>
      </c>
      <c r="S112" s="386" t="n">
        <f aca="false">R118</f>
        <v>0</v>
      </c>
      <c r="T112" s="386" t="n">
        <f aca="false">S118</f>
        <v>0</v>
      </c>
    </row>
    <row r="113" customFormat="false" ht="14.25" hidden="false" customHeight="true" outlineLevel="0" collapsed="false">
      <c r="D113" s="53"/>
      <c r="E113" s="309"/>
      <c r="F113" s="309"/>
      <c r="H113" s="383" t="s">
        <v>329</v>
      </c>
      <c r="I113" s="384"/>
      <c r="J113" s="385" t="n">
        <f aca="false">J34</f>
        <v>3967203.5625</v>
      </c>
      <c r="K113" s="385" t="n">
        <f aca="false">K34</f>
        <v>0</v>
      </c>
      <c r="L113" s="385" t="n">
        <f aca="false">L34</f>
        <v>0</v>
      </c>
      <c r="M113" s="385" t="n">
        <f aca="false">M34</f>
        <v>0</v>
      </c>
      <c r="N113" s="385" t="n">
        <f aca="false">N34</f>
        <v>0</v>
      </c>
      <c r="O113" s="385" t="n">
        <f aca="false">O34</f>
        <v>0</v>
      </c>
      <c r="P113" s="385" t="n">
        <f aca="false">P34</f>
        <v>0</v>
      </c>
      <c r="Q113" s="385" t="n">
        <f aca="false">Q34</f>
        <v>0</v>
      </c>
      <c r="R113" s="385" t="n">
        <f aca="false">R34</f>
        <v>0</v>
      </c>
      <c r="S113" s="385" t="n">
        <f aca="false">S34</f>
        <v>0</v>
      </c>
      <c r="T113" s="385" t="n">
        <f aca="false">T34</f>
        <v>0</v>
      </c>
    </row>
    <row r="114" customFormat="false" ht="14.25" hidden="false" customHeight="true" outlineLevel="0" collapsed="false">
      <c r="D114" s="53"/>
      <c r="E114" s="309"/>
      <c r="F114" s="309"/>
      <c r="H114" s="383" t="s">
        <v>330</v>
      </c>
      <c r="I114" s="384"/>
      <c r="J114" s="386" t="n">
        <f aca="false">IF(J$3&gt;=Summary!$Q$18,PMT(Summary!$Q$13/12,Summary!$Q$16*12,$E$30),0)*12*IF(J$3&gt;Summary!$V$19,0,1)</f>
        <v>0</v>
      </c>
      <c r="K114" s="386" t="n">
        <f aca="false">IF(K$3&gt;=Summary!$Q$18,PMT(Summary!$Q$13/12,Summary!$Q$16*12,$E$30),0)*12*IF(K$3&gt;Summary!$V$19,0,1)</f>
        <v>-321442.110710864</v>
      </c>
      <c r="L114" s="386" t="n">
        <f aca="false">IF(L$3&gt;=Summary!$Q$18,PMT(Summary!$Q$13/12,Summary!$Q$16*12,$E$30),0)*12*IF(L$3&gt;Summary!$V$19,0,1)</f>
        <v>-321442.110710864</v>
      </c>
      <c r="M114" s="386" t="n">
        <f aca="false">IF(M$3&gt;=Summary!$Q$18,PMT(Summary!$Q$13/12,Summary!$Q$16*12,$E$30),0)*12*IF(M$3&gt;Summary!$V$19,0,1)</f>
        <v>-321442.110710864</v>
      </c>
      <c r="N114" s="386" t="n">
        <f aca="false">IF(N$3&gt;=Summary!$Q$18,PMT(Summary!$Q$13/12,Summary!$Q$16*12,$E$30),0)*12*IF(N$3&gt;Summary!$V$19,0,1)</f>
        <v>-321442.110710864</v>
      </c>
      <c r="O114" s="386" t="n">
        <f aca="false">IF(O$3&gt;=Summary!$Q$18,PMT(Summary!$Q$13/12,Summary!$Q$16*12,$E$30),0)*12*IF(O$3&gt;Summary!$V$19,0,1)</f>
        <v>-321442.110710864</v>
      </c>
      <c r="P114" s="386" t="n">
        <f aca="false">IF(P$3&gt;=Summary!$Q$18,PMT(Summary!$Q$13/12,Summary!$Q$16*12,$E$30),0)*12*IF(P$3&gt;Summary!$V$19,0,1)</f>
        <v>-0</v>
      </c>
      <c r="Q114" s="386" t="n">
        <f aca="false">IF(Q$3&gt;=Summary!$Q$18,PMT(Summary!$Q$13/12,Summary!$Q$16*12,$E$30),0)*12*IF(Q$3&gt;Summary!$V$19,0,1)</f>
        <v>-0</v>
      </c>
      <c r="R114" s="386" t="n">
        <f aca="false">IF(R$3&gt;=Summary!$Q$18,PMT(Summary!$Q$13/12,Summary!$Q$16*12,$E$30),0)*12*IF(R$3&gt;Summary!$V$19,0,1)</f>
        <v>-0</v>
      </c>
      <c r="S114" s="386" t="n">
        <f aca="false">IF(S$3&gt;=Summary!$Q$18,PMT(Summary!$Q$13/12,Summary!$Q$16*12,$E$30),0)*12*IF(S$3&gt;Summary!$V$19,0,1)</f>
        <v>-0</v>
      </c>
      <c r="T114" s="386" t="n">
        <f aca="false">IF(T$3&gt;=Summary!$Q$18,PMT(Summary!$Q$13/12,Summary!$Q$16*12,$E$30),0)*12*IF(T$3&gt;Summary!$V$19,0,1)</f>
        <v>-0</v>
      </c>
    </row>
    <row r="115" customFormat="false" ht="14.25" hidden="false" customHeight="true" outlineLevel="0" collapsed="false">
      <c r="D115" s="53"/>
      <c r="E115" s="309"/>
      <c r="F115" s="309"/>
      <c r="H115" s="383" t="s">
        <v>331</v>
      </c>
      <c r="I115" s="384"/>
      <c r="J115" s="386" t="n">
        <f aca="false">-J112*(Summary!$Q$13/12)*12*IF(J$3&gt;Summary!$V$19,0,1)</f>
        <v>-0</v>
      </c>
      <c r="K115" s="386" t="n">
        <f aca="false">-K112*(Summary!$Q$13/12)*12*IF(K$3&gt;Summary!$V$19,0,1)</f>
        <v>-257868.2315625</v>
      </c>
      <c r="L115" s="386" t="n">
        <f aca="false">-L112*(Summary!$Q$13/12)*12*IF(L$3&gt;Summary!$V$19,0,1)</f>
        <v>-253735.929417856</v>
      </c>
      <c r="M115" s="386" t="n">
        <f aca="false">-M112*(Summary!$Q$13/12)*12*IF(M$3&gt;Summary!$V$19,0,1)</f>
        <v>-249335.027633811</v>
      </c>
      <c r="N115" s="386" t="n">
        <f aca="false">-N112*(Summary!$Q$13/12)*12*IF(N$3&gt;Summary!$V$19,0,1)</f>
        <v>-244648.067233802</v>
      </c>
      <c r="O115" s="386" t="n">
        <f aca="false">-O112*(Summary!$Q$13/12)*12*IF(O$3&gt;Summary!$V$19,0,1)</f>
        <v>-239656.454407793</v>
      </c>
      <c r="P115" s="386" t="n">
        <f aca="false">-P112*(Summary!$Q$13/12)*12*IF(P$3&gt;Summary!$V$19,0,1)</f>
        <v>-0</v>
      </c>
      <c r="Q115" s="386" t="n">
        <f aca="false">-Q112*(Summary!$Q$13/12)*12*IF(Q$3&gt;Summary!$V$19,0,1)</f>
        <v>-0</v>
      </c>
      <c r="R115" s="386" t="n">
        <f aca="false">-R112*(Summary!$Q$13/12)*12*IF(R$3&gt;Summary!$V$19,0,1)</f>
        <v>-0</v>
      </c>
      <c r="S115" s="386" t="n">
        <f aca="false">-S112*(Summary!$Q$13/12)*12*IF(S$3&gt;Summary!$V$19,0,1)</f>
        <v>-0</v>
      </c>
      <c r="T115" s="386" t="n">
        <f aca="false">-T112*(Summary!$Q$13/12)*12*IF(T$3&gt;Summary!$V$19,0,1)</f>
        <v>-0</v>
      </c>
    </row>
    <row r="116" customFormat="false" ht="14.25" hidden="false" customHeight="true" outlineLevel="0" collapsed="false">
      <c r="D116" s="53"/>
      <c r="E116" s="309"/>
      <c r="F116" s="309"/>
      <c r="H116" s="383" t="s">
        <v>332</v>
      </c>
      <c r="I116" s="384"/>
      <c r="J116" s="386" t="n">
        <f aca="false">IF(J114&lt;0,J114-J115,0)</f>
        <v>0</v>
      </c>
      <c r="K116" s="386" t="n">
        <f aca="false">IF(K114&lt;0,K114-K115,0)</f>
        <v>-63573.8791483642</v>
      </c>
      <c r="L116" s="386" t="n">
        <f aca="false">IF(L114&lt;0,L114-L115,0)</f>
        <v>-67706.1812930079</v>
      </c>
      <c r="M116" s="386" t="n">
        <f aca="false">IF(M114&lt;0,M114-M115,0)</f>
        <v>-72107.0830770534</v>
      </c>
      <c r="N116" s="386" t="n">
        <f aca="false">IF(N114&lt;0,N114-N115,0)</f>
        <v>-76794.0434770618</v>
      </c>
      <c r="O116" s="386" t="n">
        <f aca="false">IF(O114&lt;0,O114-O115,0)</f>
        <v>-81785.6563030708</v>
      </c>
      <c r="P116" s="386" t="n">
        <f aca="false">IF(P114&lt;0,P114-P115,0)</f>
        <v>0</v>
      </c>
      <c r="Q116" s="386" t="n">
        <f aca="false">IF(Q114&lt;0,Q114-Q115,0)</f>
        <v>0</v>
      </c>
      <c r="R116" s="386" t="n">
        <f aca="false">IF(R114&lt;0,R114-R115,0)</f>
        <v>0</v>
      </c>
      <c r="S116" s="386" t="n">
        <f aca="false">IF(S114&lt;0,S114-S115,0)</f>
        <v>0</v>
      </c>
      <c r="T116" s="386" t="n">
        <f aca="false">IF(T114&lt;0,T114-T115,0)</f>
        <v>0</v>
      </c>
    </row>
    <row r="117" customFormat="false" ht="14.25" hidden="false" customHeight="true" outlineLevel="0" collapsed="false">
      <c r="D117" s="53"/>
      <c r="E117" s="309"/>
      <c r="F117" s="309"/>
      <c r="H117" s="383" t="s">
        <v>333</v>
      </c>
      <c r="I117" s="384"/>
      <c r="J117" s="387" t="n">
        <f aca="false">IF(J$3=Summary!$V$19,-(J112+J116),0)</f>
        <v>0</v>
      </c>
      <c r="K117" s="387" t="n">
        <f aca="false">IF(K$3=Summary!$V$19,-(K112+K116),0)</f>
        <v>0</v>
      </c>
      <c r="L117" s="387" t="n">
        <f aca="false">IF(L$3=Summary!$V$19,-(L112+L116),0)</f>
        <v>0</v>
      </c>
      <c r="M117" s="387" t="n">
        <f aca="false">IF(M$3=Summary!$V$19,-(M112+M116),0)</f>
        <v>0</v>
      </c>
      <c r="N117" s="387" t="n">
        <f aca="false">IF(N$3=Summary!$V$19,-(N112+N116),0)</f>
        <v>0</v>
      </c>
      <c r="O117" s="387" t="n">
        <f aca="false">IF(O$3=Summary!$V$19,-(O112+O116),0)</f>
        <v>-3605236.71920144</v>
      </c>
      <c r="P117" s="387" t="n">
        <f aca="false">IF(P$3=Summary!$V$19,-(P112+P116),0)</f>
        <v>0</v>
      </c>
      <c r="Q117" s="387" t="n">
        <f aca="false">IF(Q$3=Summary!$V$19,-(Q112+Q116),0)</f>
        <v>0</v>
      </c>
      <c r="R117" s="387" t="n">
        <f aca="false">IF(R$3=Summary!$V$19,-(R112+R116),0)</f>
        <v>0</v>
      </c>
      <c r="S117" s="387" t="n">
        <f aca="false">IF(S$3=Summary!$V$19,-(S112+S116),0)</f>
        <v>0</v>
      </c>
      <c r="T117" s="387" t="n">
        <f aca="false">IF(T$3=Summary!$V$19,-(T112+T116),0)</f>
        <v>0</v>
      </c>
    </row>
    <row r="118" customFormat="false" ht="14.25" hidden="false" customHeight="true" outlineLevel="0" collapsed="false">
      <c r="D118" s="53"/>
      <c r="E118" s="309"/>
      <c r="F118" s="309"/>
      <c r="H118" s="388" t="s">
        <v>309</v>
      </c>
      <c r="I118" s="389"/>
      <c r="J118" s="390" t="n">
        <f aca="false">J112+J116+J117+J113</f>
        <v>3967203.5625</v>
      </c>
      <c r="K118" s="390" t="n">
        <f aca="false">K112+K116+K117+K113</f>
        <v>3903629.68335164</v>
      </c>
      <c r="L118" s="390" t="n">
        <f aca="false">L112+L116+L117+L113</f>
        <v>3835923.50205863</v>
      </c>
      <c r="M118" s="390" t="n">
        <f aca="false">M112+M116+M117+M113</f>
        <v>3763816.41898157</v>
      </c>
      <c r="N118" s="390" t="n">
        <f aca="false">N112+N116+N117+N113</f>
        <v>3687022.37550451</v>
      </c>
      <c r="O118" s="390" t="n">
        <f aca="false">O112+O116+O117+O113</f>
        <v>0</v>
      </c>
      <c r="P118" s="390" t="n">
        <f aca="false">P112+P116+P117+P113</f>
        <v>0</v>
      </c>
      <c r="Q118" s="390" t="n">
        <f aca="false">Q112+Q116+Q117+Q113</f>
        <v>0</v>
      </c>
      <c r="R118" s="390" t="n">
        <f aca="false">R112+R116+R117+R113</f>
        <v>0</v>
      </c>
      <c r="S118" s="390" t="n">
        <f aca="false">S112+S116+S117+S113</f>
        <v>0</v>
      </c>
      <c r="T118" s="390" t="n">
        <f aca="false">T112+T116+T117+T113</f>
        <v>0</v>
      </c>
    </row>
    <row r="119" customFormat="false" ht="14.25" hidden="false" customHeight="true" outlineLevel="0" collapsed="false">
      <c r="D119" s="53"/>
      <c r="E119" s="309"/>
      <c r="F119" s="309"/>
    </row>
    <row r="120" customFormat="false" ht="14.25" hidden="false" customHeight="true" outlineLevel="0" collapsed="false">
      <c r="D120" s="53"/>
      <c r="E120" s="309"/>
      <c r="F120" s="309"/>
    </row>
    <row r="121" customFormat="false" ht="14.25" hidden="false" customHeight="true" outlineLevel="0" collapsed="false">
      <c r="D121" s="53"/>
      <c r="E121" s="309"/>
      <c r="F121" s="309"/>
    </row>
    <row r="122" customFormat="false" ht="14.25" hidden="false" customHeight="true" outlineLevel="0" collapsed="false">
      <c r="D122" s="53"/>
      <c r="E122" s="309"/>
      <c r="F122" s="309"/>
    </row>
    <row r="123" customFormat="false" ht="14.25" hidden="false" customHeight="true" outlineLevel="0" collapsed="false">
      <c r="D123" s="53"/>
      <c r="E123" s="309"/>
      <c r="F123" s="309"/>
    </row>
    <row r="124" customFormat="false" ht="14.25" hidden="false" customHeight="true" outlineLevel="0" collapsed="false">
      <c r="D124" s="53"/>
      <c r="E124" s="309"/>
      <c r="F124" s="309"/>
    </row>
    <row r="125" customFormat="false" ht="14.25" hidden="false" customHeight="true" outlineLevel="0" collapsed="false">
      <c r="D125" s="53"/>
      <c r="E125" s="309"/>
      <c r="F125" s="309"/>
    </row>
    <row r="126" customFormat="false" ht="14.25" hidden="false" customHeight="true" outlineLevel="0" collapsed="false">
      <c r="D126" s="53"/>
      <c r="E126" s="309"/>
      <c r="F126" s="309"/>
    </row>
    <row r="127" customFormat="false" ht="14.25" hidden="false" customHeight="true" outlineLevel="0" collapsed="false">
      <c r="D127" s="53"/>
      <c r="E127" s="309"/>
      <c r="F127" s="309"/>
    </row>
    <row r="128" customFormat="false" ht="14.25" hidden="false" customHeight="true" outlineLevel="0" collapsed="false">
      <c r="D128" s="53"/>
      <c r="E128" s="309"/>
      <c r="F128" s="309"/>
    </row>
    <row r="129" customFormat="false" ht="14.25" hidden="false" customHeight="true" outlineLevel="0" collapsed="false">
      <c r="D129" s="53"/>
      <c r="E129" s="309"/>
      <c r="F129" s="309"/>
    </row>
    <row r="130" customFormat="false" ht="14.25" hidden="false" customHeight="true" outlineLevel="0" collapsed="false">
      <c r="D130" s="53"/>
      <c r="E130" s="309"/>
      <c r="F130" s="309"/>
    </row>
    <row r="131" customFormat="false" ht="14.25" hidden="false" customHeight="true" outlineLevel="0" collapsed="false">
      <c r="D131" s="53"/>
      <c r="E131" s="309"/>
      <c r="F131" s="30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91" t="s">
        <v>334</v>
      </c>
    </row>
    <row r="2" customFormat="false" ht="15" hidden="false" customHeight="false" outlineLevel="0" collapsed="false">
      <c r="A2" s="0" t="s">
        <v>335</v>
      </c>
    </row>
    <row r="4" customFormat="false" ht="15" hidden="false" customHeight="false" outlineLevel="0" collapsed="false">
      <c r="A4" s="392" t="s">
        <v>336</v>
      </c>
    </row>
    <row r="5" customFormat="false" ht="15" hidden="false" customHeight="false" outlineLevel="0" collapsed="false">
      <c r="A5" s="0" t="s">
        <v>337</v>
      </c>
      <c r="B5" s="393" t="n">
        <v>1250000</v>
      </c>
    </row>
    <row r="6" customFormat="false" ht="15" hidden="false" customHeight="false" outlineLevel="0" collapsed="false">
      <c r="A6" s="0" t="s">
        <v>338</v>
      </c>
      <c r="B6" s="393" t="n">
        <v>1475000</v>
      </c>
    </row>
    <row r="7" customFormat="false" ht="15" hidden="false" customHeight="false" outlineLevel="0" collapsed="false">
      <c r="A7" s="0" t="s">
        <v>339</v>
      </c>
      <c r="B7" s="0" t="n">
        <v>5.04</v>
      </c>
    </row>
    <row r="8" customFormat="false" ht="15" hidden="false" customHeight="false" outlineLevel="0" collapsed="false">
      <c r="A8" s="0" t="s">
        <v>340</v>
      </c>
      <c r="B8" s="393" t="n">
        <f aca="false">B6*B7</f>
        <v>7434000</v>
      </c>
    </row>
    <row r="9" customFormat="false" ht="15" hidden="false" customHeight="false" outlineLevel="0" collapsed="false">
      <c r="A9" s="0" t="s">
        <v>341</v>
      </c>
      <c r="B9" s="393" t="n">
        <v>796500</v>
      </c>
    </row>
    <row r="10" customFormat="false" ht="15" hidden="false" customHeight="false" outlineLevel="0" collapsed="false">
      <c r="A10" s="0" t="s">
        <v>342</v>
      </c>
      <c r="B10" s="393" t="n">
        <f aca="false">B5/B7</f>
        <v>248015.873015873</v>
      </c>
    </row>
    <row r="11" customFormat="false" ht="15" hidden="false" customHeight="false" outlineLevel="0" collapsed="false">
      <c r="A11" s="0" t="s">
        <v>343</v>
      </c>
    </row>
    <row r="13" customFormat="false" ht="15" hidden="false" customHeight="false" outlineLevel="0" collapsed="false">
      <c r="A13" s="392" t="s">
        <v>344</v>
      </c>
    </row>
    <row r="14" customFormat="false" ht="15" hidden="false" customHeight="false" outlineLevel="0" collapsed="false">
      <c r="A14" s="0" t="s">
        <v>345</v>
      </c>
      <c r="B14" s="394" t="n">
        <v>6000</v>
      </c>
    </row>
    <row r="15" customFormat="false" ht="15" hidden="false" customHeight="false" outlineLevel="0" collapsed="false">
      <c r="A15" s="0" t="s">
        <v>346</v>
      </c>
      <c r="B15" s="393" t="n">
        <v>28</v>
      </c>
    </row>
    <row r="16" customFormat="false" ht="15" hidden="false" customHeight="false" outlineLevel="0" collapsed="false">
      <c r="A16" s="0" t="s">
        <v>347</v>
      </c>
      <c r="B16" s="393" t="n">
        <v>120</v>
      </c>
    </row>
    <row r="17" customFormat="false" ht="15" hidden="false" customHeight="false" outlineLevel="0" collapsed="false">
      <c r="A17" s="0" t="s">
        <v>348</v>
      </c>
      <c r="B17" s="395" t="n">
        <v>0</v>
      </c>
    </row>
    <row r="19" customFormat="false" ht="15" hidden="false" customHeight="false" outlineLevel="0" collapsed="false">
      <c r="A19" s="392" t="s">
        <v>257</v>
      </c>
    </row>
    <row r="20" customFormat="false" ht="15" hidden="false" customHeight="false" outlineLevel="0" collapsed="false">
      <c r="A20" s="0" t="s">
        <v>349</v>
      </c>
      <c r="B20" s="395" t="n">
        <v>0.15</v>
      </c>
    </row>
    <row r="22" customFormat="false" ht="15" hidden="false" customHeight="false" outlineLevel="0" collapsed="false">
      <c r="A22" s="392" t="s">
        <v>350</v>
      </c>
    </row>
    <row r="23" customFormat="false" ht="15" hidden="false" customHeight="false" outlineLevel="0" collapsed="false">
      <c r="A23" s="0" t="s">
        <v>351</v>
      </c>
      <c r="B23" s="395" t="n">
        <v>0.7</v>
      </c>
    </row>
    <row r="24" customFormat="false" ht="15" hidden="false" customHeight="false" outlineLevel="0" collapsed="false">
      <c r="A24" s="0" t="s">
        <v>150</v>
      </c>
      <c r="B24" s="396" t="n">
        <v>0.0725</v>
      </c>
    </row>
    <row r="25" customFormat="false" ht="15" hidden="false" customHeight="false" outlineLevel="0" collapsed="false">
      <c r="A25" s="0" t="s">
        <v>352</v>
      </c>
      <c r="B25" s="0" t="n">
        <v>30</v>
      </c>
    </row>
    <row r="26" customFormat="false" ht="15" hidden="false" customHeight="false" outlineLevel="0" collapsed="false">
      <c r="A26" s="0" t="s">
        <v>353</v>
      </c>
      <c r="B26" s="0" t="n">
        <v>5</v>
      </c>
    </row>
    <row r="28" customFormat="false" ht="15" hidden="false" customHeight="false" outlineLevel="0" collapsed="false">
      <c r="A28" s="392" t="s">
        <v>354</v>
      </c>
    </row>
    <row r="29" customFormat="false" ht="15" hidden="false" customHeight="false" outlineLevel="0" collapsed="false">
      <c r="A29" s="0" t="s">
        <v>183</v>
      </c>
      <c r="B29" s="396" t="n">
        <v>0.075</v>
      </c>
    </row>
    <row r="30" customFormat="false" ht="15" hidden="false" customHeight="false" outlineLevel="0" collapsed="false">
      <c r="A30" s="0" t="s">
        <v>355</v>
      </c>
      <c r="B30" s="395" t="n">
        <v>0.02</v>
      </c>
    </row>
    <row r="32" customFormat="false" ht="15" hidden="false" customHeight="false" outlineLevel="0" collapsed="false">
      <c r="A32" s="392" t="s">
        <v>356</v>
      </c>
    </row>
    <row r="33" customFormat="false" ht="15" hidden="false" customHeight="false" outlineLevel="0" collapsed="false">
      <c r="A33" s="0" t="s">
        <v>146</v>
      </c>
      <c r="B33" s="393" t="n">
        <f aca="false">B5</f>
        <v>1250000</v>
      </c>
    </row>
    <row r="34" customFormat="false" ht="15" hidden="false" customHeight="false" outlineLevel="0" collapsed="false">
      <c r="A34" s="0" t="s">
        <v>357</v>
      </c>
      <c r="B34" s="393" t="n">
        <f aca="false">B14*B16</f>
        <v>720000</v>
      </c>
    </row>
    <row r="35" customFormat="false" ht="15" hidden="false" customHeight="false" outlineLevel="0" collapsed="false">
      <c r="A35" s="0" t="s">
        <v>358</v>
      </c>
      <c r="B35" s="393" t="n">
        <f aca="false">B34</f>
        <v>720000</v>
      </c>
    </row>
    <row r="36" customFormat="false" ht="15" hidden="false" customHeight="false" outlineLevel="0" collapsed="false">
      <c r="A36" s="0" t="s">
        <v>178</v>
      </c>
      <c r="B36" s="393" t="n">
        <f aca="false">B35*B20</f>
        <v>108000</v>
      </c>
    </row>
    <row r="37" customFormat="false" ht="15" hidden="false" customHeight="false" outlineLevel="0" collapsed="false">
      <c r="A37" s="391" t="s">
        <v>275</v>
      </c>
      <c r="B37" s="397" t="n">
        <f aca="false">B33+B35+B36</f>
        <v>2078000</v>
      </c>
    </row>
    <row r="39" customFormat="false" ht="15" hidden="false" customHeight="false" outlineLevel="0" collapsed="false">
      <c r="A39" s="392" t="s">
        <v>359</v>
      </c>
    </row>
    <row r="40" customFormat="false" ht="15" hidden="false" customHeight="false" outlineLevel="0" collapsed="false">
      <c r="A40" s="0" t="s">
        <v>360</v>
      </c>
      <c r="B40" s="393" t="n">
        <f aca="false">B37*B23</f>
        <v>1454600</v>
      </c>
    </row>
    <row r="41" customFormat="false" ht="15" hidden="false" customHeight="false" outlineLevel="0" collapsed="false">
      <c r="A41" s="0" t="s">
        <v>125</v>
      </c>
      <c r="B41" s="393" t="n">
        <f aca="false">B37-B40</f>
        <v>623400</v>
      </c>
    </row>
    <row r="42" customFormat="false" ht="15" hidden="false" customHeight="false" outlineLevel="0" collapsed="false">
      <c r="A42" s="0" t="s">
        <v>130</v>
      </c>
      <c r="B42" s="393" t="n">
        <f aca="false">B40+B41</f>
        <v>2078000</v>
      </c>
    </row>
    <row r="43" customFormat="false" ht="15" hidden="false" customHeight="false" outlineLevel="0" collapsed="false">
      <c r="A43" s="0" t="s">
        <v>361</v>
      </c>
      <c r="B43" s="0" t="str">
        <f aca="false">IF(ABS(B42-B37)&lt;1,"OK","CHECK")</f>
        <v>OK</v>
      </c>
    </row>
    <row r="45" customFormat="false" ht="15" hidden="false" customHeight="false" outlineLevel="0" collapsed="false">
      <c r="A45" s="392" t="s">
        <v>362</v>
      </c>
    </row>
    <row r="46" customFormat="false" ht="15" hidden="false" customHeight="false" outlineLevel="0" collapsed="false">
      <c r="A46" s="0" t="s">
        <v>363</v>
      </c>
    </row>
    <row r="47" customFormat="false" ht="15" hidden="false" customHeight="false" outlineLevel="0" collapsed="false">
      <c r="A47" s="0" t="s">
        <v>364</v>
      </c>
      <c r="B47" s="394" t="n">
        <v>65000</v>
      </c>
    </row>
    <row r="48" customFormat="false" ht="15" hidden="false" customHeight="false" outlineLevel="0" collapsed="false">
      <c r="A48" s="0" t="s">
        <v>365</v>
      </c>
      <c r="B48" s="393" t="n">
        <v>92</v>
      </c>
    </row>
    <row r="49" customFormat="false" ht="15" hidden="false" customHeight="false" outlineLevel="0" collapsed="false">
      <c r="A49" s="0" t="s">
        <v>366</v>
      </c>
      <c r="B49" s="393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9" min="4" style="0" width="15"/>
  </cols>
  <sheetData>
    <row r="1" customFormat="false" ht="15" hidden="false" customHeight="false" outlineLevel="0" collapsed="false">
      <c r="A1" s="391" t="s">
        <v>367</v>
      </c>
    </row>
    <row r="3" customFormat="false" ht="15" hidden="false" customHeight="false" outlineLevel="0" collapsed="false">
      <c r="A3" s="392" t="s">
        <v>368</v>
      </c>
    </row>
    <row r="4" customFormat="false" ht="15" hidden="false" customHeight="false" outlineLevel="0" collapsed="false">
      <c r="A4" s="0" t="s">
        <v>369</v>
      </c>
      <c r="B4" s="393" t="n">
        <f aca="false">'Seminole Dev Inputs'!B14*'Seminole Dev Inputs'!B15</f>
        <v>168000</v>
      </c>
    </row>
    <row r="5" customFormat="false" ht="15" hidden="false" customHeight="false" outlineLevel="0" collapsed="false">
      <c r="A5" s="0" t="s">
        <v>370</v>
      </c>
      <c r="B5" s="393" t="n">
        <f aca="false">-B4*'Seminole Dev Inputs'!B17</f>
        <v>-0</v>
      </c>
    </row>
    <row r="6" customFormat="false" ht="15" hidden="false" customHeight="false" outlineLevel="0" collapsed="false">
      <c r="A6" s="391" t="s">
        <v>267</v>
      </c>
      <c r="B6" s="397" t="n">
        <f aca="false">B4+B5</f>
        <v>168000</v>
      </c>
    </row>
    <row r="8" customFormat="false" ht="15" hidden="false" customHeight="false" outlineLevel="0" collapsed="false">
      <c r="A8" s="392" t="s">
        <v>371</v>
      </c>
    </row>
    <row r="9" customFormat="false" ht="15" hidden="false" customHeight="false" outlineLevel="0" collapsed="false">
      <c r="A9" s="391" t="s">
        <v>372</v>
      </c>
      <c r="B9" s="397" t="n">
        <f aca="false">B6</f>
        <v>168000</v>
      </c>
    </row>
    <row r="11" customFormat="false" ht="15" hidden="false" customHeight="false" outlineLevel="0" collapsed="false">
      <c r="A11" s="392" t="s">
        <v>373</v>
      </c>
    </row>
    <row r="12" customFormat="false" ht="15" hidden="false" customHeight="false" outlineLevel="0" collapsed="false">
      <c r="A12" s="0" t="s">
        <v>275</v>
      </c>
      <c r="B12" s="393" t="n">
        <f aca="false">'Seminole Dev Inputs'!B37</f>
        <v>2078000</v>
      </c>
    </row>
    <row r="13" customFormat="false" ht="15" hidden="false" customHeight="false" outlineLevel="0" collapsed="false">
      <c r="A13" s="0" t="s">
        <v>372</v>
      </c>
      <c r="B13" s="393" t="n">
        <f aca="false">B9</f>
        <v>168000</v>
      </c>
    </row>
    <row r="14" customFormat="false" ht="15" hidden="false" customHeight="false" outlineLevel="0" collapsed="false">
      <c r="A14" s="391" t="s">
        <v>374</v>
      </c>
      <c r="B14" s="398" t="n">
        <f aca="false">B13/B12</f>
        <v>0.080846968238691</v>
      </c>
    </row>
    <row r="15" customFormat="false" ht="15" hidden="false" customHeight="false" outlineLevel="0" collapsed="false">
      <c r="A15" s="0" t="s">
        <v>183</v>
      </c>
      <c r="B15" s="396" t="n">
        <f aca="false">'Seminole Dev Inputs'!B29</f>
        <v>0.075</v>
      </c>
    </row>
    <row r="16" customFormat="false" ht="15" hidden="false" customHeight="false" outlineLevel="0" collapsed="false">
      <c r="A16" s="391" t="s">
        <v>375</v>
      </c>
      <c r="B16" s="398" t="n">
        <f aca="false">B14-B15</f>
        <v>0.00584696823869105</v>
      </c>
    </row>
    <row r="18" customFormat="false" ht="15" hidden="false" customHeight="false" outlineLevel="0" collapsed="false">
      <c r="A18" s="392" t="s">
        <v>376</v>
      </c>
    </row>
    <row r="19" customFormat="false" ht="15" hidden="false" customHeight="false" outlineLevel="0" collapsed="false">
      <c r="A19" s="0" t="s">
        <v>377</v>
      </c>
      <c r="B19" s="393" t="n">
        <f aca="false">B13/B15</f>
        <v>2240000</v>
      </c>
    </row>
    <row r="20" customFormat="false" ht="15" hidden="false" customHeight="false" outlineLevel="0" collapsed="false">
      <c r="A20" s="0" t="s">
        <v>378</v>
      </c>
      <c r="B20" s="393" t="n">
        <f aca="false">-B19*'Seminole Dev Inputs'!B30</f>
        <v>-44800</v>
      </c>
    </row>
    <row r="21" customFormat="false" ht="15" hidden="false" customHeight="false" outlineLevel="0" collapsed="false">
      <c r="A21" s="0" t="s">
        <v>379</v>
      </c>
      <c r="B21" s="393" t="n">
        <f aca="false">B19+B20</f>
        <v>2195200</v>
      </c>
    </row>
    <row r="22" customFormat="false" ht="15" hidden="false" customHeight="false" outlineLevel="0" collapsed="false">
      <c r="A22" s="391" t="s">
        <v>380</v>
      </c>
      <c r="B22" s="397" t="n">
        <f aca="false">B21-B12</f>
        <v>117200</v>
      </c>
    </row>
    <row r="23" customFormat="false" ht="15" hidden="false" customHeight="false" outlineLevel="0" collapsed="false">
      <c r="A23" s="0" t="s">
        <v>381</v>
      </c>
      <c r="B23" s="395" t="n">
        <f aca="false">B22/B12</f>
        <v>0.056400384985563</v>
      </c>
    </row>
    <row r="25" customFormat="false" ht="15" hidden="false" customHeight="false" outlineLevel="0" collapsed="false">
      <c r="A25" s="392" t="s">
        <v>382</v>
      </c>
    </row>
    <row r="26" customFormat="false" ht="15" hidden="false" customHeight="false" outlineLevel="0" collapsed="false">
      <c r="A26" s="0" t="s">
        <v>383</v>
      </c>
      <c r="B26" s="393" t="n">
        <f aca="false">'Seminole Dev Inputs'!B40</f>
        <v>1454600</v>
      </c>
    </row>
    <row r="27" customFormat="false" ht="15" hidden="false" customHeight="false" outlineLevel="0" collapsed="false">
      <c r="A27" s="0" t="s">
        <v>125</v>
      </c>
      <c r="B27" s="393" t="n">
        <f aca="false">'Seminole Dev Inputs'!B41</f>
        <v>623400</v>
      </c>
    </row>
    <row r="28" customFormat="false" ht="15" hidden="false" customHeight="false" outlineLevel="0" collapsed="false">
      <c r="A28" s="0" t="s">
        <v>384</v>
      </c>
      <c r="B28" s="393" t="n">
        <f aca="false">-PMT('Seminole Dev Inputs'!B24,'Seminole Dev Inputs'!B25,B26)</f>
        <v>120178.497813394</v>
      </c>
    </row>
    <row r="29" customFormat="false" ht="15" hidden="false" customHeight="false" outlineLevel="0" collapsed="false">
      <c r="A29" s="0" t="s">
        <v>385</v>
      </c>
      <c r="B29" s="399" t="n">
        <f aca="false">B13/B28</f>
        <v>1.39792061855242</v>
      </c>
    </row>
    <row r="30" customFormat="false" ht="15" hidden="false" customHeight="false" outlineLevel="0" collapsed="false">
      <c r="A30" s="0" t="s">
        <v>386</v>
      </c>
      <c r="B30" s="393" t="n">
        <f aca="false">B13-B28</f>
        <v>47821.5021866062</v>
      </c>
    </row>
    <row r="31" customFormat="false" ht="15" hidden="false" customHeight="false" outlineLevel="0" collapsed="false">
      <c r="A31" s="0" t="s">
        <v>387</v>
      </c>
      <c r="B31" s="396" t="n">
        <f aca="false">B30/B27</f>
        <v>0.0767107831033144</v>
      </c>
    </row>
    <row r="33" customFormat="false" ht="15" hidden="false" customHeight="false" outlineLevel="0" collapsed="false">
      <c r="A33" s="392" t="s">
        <v>388</v>
      </c>
    </row>
    <row r="34" customFormat="false" ht="15" hidden="false" customHeight="false" outlineLevel="0" collapsed="false">
      <c r="D34" s="391" t="s">
        <v>389</v>
      </c>
      <c r="E34" s="391" t="s">
        <v>390</v>
      </c>
      <c r="F34" s="391" t="s">
        <v>155</v>
      </c>
      <c r="G34" s="391" t="s">
        <v>391</v>
      </c>
      <c r="H34" s="391" t="s">
        <v>332</v>
      </c>
      <c r="I34" s="391" t="s">
        <v>392</v>
      </c>
    </row>
    <row r="35" customFormat="false" ht="15" hidden="false" customHeight="false" outlineLevel="0" collapsed="false">
      <c r="D35" s="0" t="n">
        <v>0</v>
      </c>
      <c r="I35" s="393" t="n">
        <f aca="false">B26</f>
        <v>1454600</v>
      </c>
    </row>
    <row r="36" customFormat="false" ht="15" hidden="false" customHeight="false" outlineLevel="0" collapsed="false">
      <c r="D36" s="0" t="n">
        <v>1</v>
      </c>
      <c r="E36" s="393" t="n">
        <f aca="false">I35</f>
        <v>1454600</v>
      </c>
      <c r="F36" s="393" t="n">
        <f aca="false">$B$28</f>
        <v>120178.497813394</v>
      </c>
      <c r="G36" s="393" t="n">
        <f aca="false">E36*'Seminole Dev Inputs'!$B$24</f>
        <v>105458.5</v>
      </c>
      <c r="H36" s="393" t="n">
        <f aca="false">F36-G36</f>
        <v>14719.9978133938</v>
      </c>
      <c r="I36" s="393" t="n">
        <f aca="false">E36-H36</f>
        <v>1439880.00218661</v>
      </c>
    </row>
    <row r="37" customFormat="false" ht="15" hidden="false" customHeight="false" outlineLevel="0" collapsed="false">
      <c r="D37" s="0" t="n">
        <v>2</v>
      </c>
      <c r="E37" s="393" t="n">
        <f aca="false">I36</f>
        <v>1439880.00218661</v>
      </c>
      <c r="F37" s="393" t="n">
        <f aca="false">$B$28</f>
        <v>120178.497813394</v>
      </c>
      <c r="G37" s="393" t="n">
        <f aca="false">E37*'Seminole Dev Inputs'!$B$24</f>
        <v>104391.300158529</v>
      </c>
      <c r="H37" s="393" t="n">
        <f aca="false">F37-G37</f>
        <v>15787.1976548649</v>
      </c>
      <c r="I37" s="393" t="n">
        <f aca="false">E37-H37</f>
        <v>1424092.80453174</v>
      </c>
    </row>
    <row r="38" customFormat="false" ht="15" hidden="false" customHeight="false" outlineLevel="0" collapsed="false">
      <c r="D38" s="0" t="n">
        <v>3</v>
      </c>
      <c r="E38" s="393" t="n">
        <f aca="false">I37</f>
        <v>1424092.80453174</v>
      </c>
      <c r="F38" s="393" t="n">
        <f aca="false">$B$28</f>
        <v>120178.497813394</v>
      </c>
      <c r="G38" s="393" t="n">
        <f aca="false">E38*'Seminole Dev Inputs'!$B$24</f>
        <v>103246.728328551</v>
      </c>
      <c r="H38" s="393" t="n">
        <f aca="false">F38-G38</f>
        <v>16931.7694848426</v>
      </c>
      <c r="I38" s="393" t="n">
        <f aca="false">E38-H38</f>
        <v>1407161.0350469</v>
      </c>
    </row>
    <row r="39" customFormat="false" ht="15" hidden="false" customHeight="false" outlineLevel="0" collapsed="false">
      <c r="D39" s="0" t="n">
        <v>4</v>
      </c>
      <c r="E39" s="393" t="n">
        <f aca="false">I38</f>
        <v>1407161.0350469</v>
      </c>
      <c r="F39" s="393" t="n">
        <f aca="false">$B$28</f>
        <v>120178.497813394</v>
      </c>
      <c r="G39" s="393" t="n">
        <f aca="false">E39*'Seminole Dev Inputs'!$B$24</f>
        <v>102019.1750409</v>
      </c>
      <c r="H39" s="393" t="n">
        <f aca="false">F39-G39</f>
        <v>18159.3227724937</v>
      </c>
      <c r="I39" s="393" t="n">
        <f aca="false">E39-H39</f>
        <v>1389001.71227441</v>
      </c>
    </row>
    <row r="40" customFormat="false" ht="15" hidden="false" customHeight="false" outlineLevel="0" collapsed="false">
      <c r="D40" s="0" t="n">
        <v>5</v>
      </c>
      <c r="E40" s="393" t="n">
        <f aca="false">I39</f>
        <v>1389001.71227441</v>
      </c>
      <c r="F40" s="393" t="n">
        <f aca="false">$B$28</f>
        <v>120178.497813394</v>
      </c>
      <c r="G40" s="393" t="n">
        <f aca="false">E40*'Seminole Dev Inputs'!$B$24</f>
        <v>100702.624139894</v>
      </c>
      <c r="H40" s="393" t="n">
        <f aca="false">F40-G40</f>
        <v>19475.8736734995</v>
      </c>
      <c r="I40" s="393" t="n">
        <f aca="false">E40-H40</f>
        <v>1369525.83860091</v>
      </c>
    </row>
    <row r="41" customFormat="false" ht="15" hidden="false" customHeight="false" outlineLevel="0" collapsed="false">
      <c r="A41" s="0" t="s">
        <v>393</v>
      </c>
      <c r="B41" s="393" t="n">
        <f aca="false">I40</f>
        <v>1369525.83860091</v>
      </c>
    </row>
    <row r="43" customFormat="false" ht="15" hidden="false" customHeight="false" outlineLevel="0" collapsed="false">
      <c r="A43" s="392" t="s">
        <v>394</v>
      </c>
    </row>
    <row r="44" customFormat="false" ht="15" hidden="false" customHeight="false" outlineLevel="0" collapsed="false">
      <c r="A44" s="0" t="s">
        <v>395</v>
      </c>
      <c r="B44" s="393" t="n">
        <f aca="false">B21-B41</f>
        <v>825674.161399095</v>
      </c>
    </row>
    <row r="45" customFormat="false" ht="15" hidden="false" customHeight="false" outlineLevel="0" collapsed="false">
      <c r="A45" s="0" t="s">
        <v>396</v>
      </c>
      <c r="D45" s="393" t="n">
        <f aca="false">-B27</f>
        <v>-623400</v>
      </c>
      <c r="E45" s="393" t="n">
        <f aca="false">$B$30</f>
        <v>47821.5021866062</v>
      </c>
      <c r="F45" s="393" t="n">
        <f aca="false">$B$30</f>
        <v>47821.5021866062</v>
      </c>
      <c r="G45" s="393" t="n">
        <f aca="false">$B$30</f>
        <v>47821.5021866062</v>
      </c>
      <c r="H45" s="393" t="n">
        <f aca="false">$B$30</f>
        <v>47821.5021866062</v>
      </c>
      <c r="I45" s="393" t="n">
        <f aca="false">$B$30+$B$44</f>
        <v>873495.663585701</v>
      </c>
    </row>
    <row r="46" customFormat="false" ht="15" hidden="false" customHeight="false" outlineLevel="0" collapsed="false">
      <c r="A46" s="391" t="s">
        <v>7</v>
      </c>
      <c r="B46" s="398" t="n">
        <f aca="false">IRR(D45:I45)</f>
        <v>0.127072907626004</v>
      </c>
    </row>
    <row r="47" customFormat="false" ht="15" hidden="false" customHeight="false" outlineLevel="0" collapsed="false">
      <c r="A47" s="391" t="s">
        <v>397</v>
      </c>
      <c r="B47" s="400" t="n">
        <f aca="false">(B30*'Seminole Dev Inputs'!B26+B44)/B27</f>
        <v>1.70802321516222</v>
      </c>
    </row>
    <row r="49" customFormat="false" ht="15" hidden="false" customHeight="false" outlineLevel="0" collapsed="false">
      <c r="A49" s="392" t="s">
        <v>398</v>
      </c>
    </row>
    <row r="50" customFormat="false" ht="15" hidden="false" customHeight="false" outlineLevel="0" collapsed="false">
      <c r="C50" s="401" t="s">
        <v>399</v>
      </c>
      <c r="D50" s="393" t="n">
        <v>500000</v>
      </c>
      <c r="E50" s="393" t="n">
        <v>750000</v>
      </c>
      <c r="F50" s="393" t="n">
        <v>1000000</v>
      </c>
      <c r="G50" s="393" t="n">
        <v>1250000</v>
      </c>
      <c r="H50" s="393" t="n">
        <v>1500000</v>
      </c>
    </row>
    <row r="51" customFormat="false" ht="15" hidden="false" customHeight="false" outlineLevel="0" collapsed="false">
      <c r="C51" s="401" t="s">
        <v>374</v>
      </c>
      <c r="D51" s="396" t="n">
        <f aca="false">B13/(D50+'Seminole Dev Inputs'!B35+'Seminole Dev Inputs'!B36)</f>
        <v>0.126506024096386</v>
      </c>
      <c r="E51" s="396" t="n">
        <f aca="false">B13/(E50+'Seminole Dev Inputs'!B35+'Seminole Dev Inputs'!B36)</f>
        <v>0.106463878326996</v>
      </c>
      <c r="F51" s="396" t="n">
        <f aca="false">B13/(F50+'Seminole Dev Inputs'!B35+'Seminole Dev Inputs'!B36)</f>
        <v>0.0919037199124727</v>
      </c>
      <c r="G51" s="396" t="n">
        <f aca="false">B13/(G50+'Seminole Dev Inputs'!B35+'Seminole Dev Inputs'!B36)</f>
        <v>0.080846968238691</v>
      </c>
      <c r="H51" s="396" t="n">
        <f aca="false">B13/(H50+'Seminole Dev Inputs'!B35+'Seminole Dev Inputs'!B36)</f>
        <v>0.0721649484536082</v>
      </c>
    </row>
    <row r="52" customFormat="false" ht="15" hidden="false" customHeight="false" outlineLevel="0" collapsed="false">
      <c r="C52" s="401" t="s">
        <v>400</v>
      </c>
      <c r="D52" s="396" t="n">
        <f aca="false">D51-'Seminole Dev Inputs'!B29</f>
        <v>0.0515060240963855</v>
      </c>
      <c r="E52" s="396" t="n">
        <f aca="false">E51-'Seminole Dev Inputs'!B29</f>
        <v>0.0314638783269962</v>
      </c>
      <c r="F52" s="396" t="n">
        <f aca="false">F51-'Seminole Dev Inputs'!B29</f>
        <v>0.0169037199124727</v>
      </c>
      <c r="G52" s="396" t="n">
        <f aca="false">G51-'Seminole Dev Inputs'!B29</f>
        <v>0.00584696823869105</v>
      </c>
      <c r="H52" s="396" t="n">
        <f aca="false">H51-'Seminole Dev Inputs'!B29</f>
        <v>-0.00283505154639176</v>
      </c>
    </row>
    <row r="54" customFormat="false" ht="15" hidden="false" customHeight="false" outlineLevel="0" collapsed="false">
      <c r="A54" s="391" t="s">
        <v>401</v>
      </c>
    </row>
    <row r="55" customFormat="false" ht="15" hidden="false" customHeight="false" outlineLevel="0" collapsed="false">
      <c r="A55" s="0" t="s">
        <v>402</v>
      </c>
    </row>
    <row r="56" customFormat="false" ht="15" hidden="false" customHeight="false" outlineLevel="0" collapsed="false">
      <c r="A56" s="0" t="s">
        <v>403</v>
      </c>
    </row>
    <row r="57" customFormat="false" ht="15" hidden="false" customHeight="false" outlineLevel="0" collapsed="false">
      <c r="A57" s="0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2023-02-10T21:15:46Z</dcterms:created>
  <dc:creator>Benjamin Blackburn</dc:creator>
  <dc:description/>
  <dc:language>en-US</dc:language>
  <cp:lastModifiedBy>Benjamin Blackburn</cp:lastModifiedBy>
  <dcterms:modified xsi:type="dcterms:W3CDTF">2026-08-05T13:17:04Z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