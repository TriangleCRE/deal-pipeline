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Sources_Uses" sheetId="2" r:id="rId5"/>
  </sheets>
  <definedNames/>
  <calcPr/>
  <extLst>
    <ext uri="GoogleSheetsCustomDataVersion2">
      <go:sheetsCustomData xmlns:go="http://customooxmlschemas.google.com/" r:id="rId6" roundtripDataChecksum="ktAoTqIdH3Zl6+nRbxsVNzigJmKgPIOKkVDh9PrlDZo="/>
    </ext>
  </extLst>
</workbook>
</file>

<file path=xl/sharedStrings.xml><?xml version="1.0" encoding="utf-8"?>
<sst xmlns="http://schemas.openxmlformats.org/spreadsheetml/2006/main" count="15" uniqueCount="15">
  <si>
    <t>Land Purchase Price</t>
  </si>
  <si>
    <t>Retail Size SF</t>
  </si>
  <si>
    <t>Retail Rent $/SF</t>
  </si>
  <si>
    <t>Retail Cost $/SF</t>
  </si>
  <si>
    <t>Storage Size SF</t>
  </si>
  <si>
    <t>Storage Cost $/SF</t>
  </si>
  <si>
    <t>Ground Lease Annual</t>
  </si>
  <si>
    <t>Loan LTC</t>
  </si>
  <si>
    <t>Interest Rate</t>
  </si>
  <si>
    <t>Exit Cap Rate</t>
  </si>
  <si>
    <t>Land</t>
  </si>
  <si>
    <t>Retail Construction</t>
  </si>
  <si>
    <t>Storage Construction</t>
  </si>
  <si>
    <t>Soft Costs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</si>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</sst>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>
      <c r="A1" s="1" t="s">
        <v>0</v>
      </c>
      <c r="B1" s="1">
        <v>1250000.0</v>
      </c>
    </row>
    <row r="2">
      <c r="A2" s="1" t="s">
        <v>1</v>
      </c>
      <c r="B2" s="1">
        <v>6000.0</v>
      </c>
    </row>
    <row r="3">
      <c r="A3" s="1" t="s">
        <v>2</v>
      </c>
      <c r="B3" s="1">
        <v>28.0</v>
      </c>
    </row>
    <row r="4">
      <c r="A4" s="1" t="s">
        <v>3</v>
      </c>
      <c r="B4" s="1">
        <v>120.0</v>
      </c>
    </row>
    <row r="5">
      <c r="A5" s="1" t="s">
        <v>4</v>
      </c>
      <c r="B5" s="1">
        <v>65000.0</v>
      </c>
    </row>
    <row r="6">
      <c r="A6" s="1" t="s">
        <v>5</v>
      </c>
      <c r="B6" s="1">
        <v>92.0</v>
      </c>
    </row>
    <row r="7">
      <c r="A7" s="1" t="s">
        <v>6</v>
      </c>
      <c r="B7" s="1">
        <v>110000.0</v>
      </c>
    </row>
    <row r="8">
      <c r="A8" s="1" t="s">
        <v>7</v>
      </c>
      <c r="B8" s="1">
        <v>0.7</v>
      </c>
    </row>
    <row r="9">
      <c r="A9" s="1" t="s">
        <v>8</v>
      </c>
      <c r="B9" s="1">
        <v>0.0725</v>
      </c>
    </row>
    <row r="10">
      <c r="A10" s="1" t="s">
        <v>9</v>
      </c>
      <c r="B10" s="1">
        <v>0.075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</v>
      </c>
      <c r="B1" s="1">
        <f>Assumptions!B1</f>
        <v>1250000</v>
      </c>
    </row>
    <row r="2">
      <c r="A2" s="1" t="s">
        <v>11</v>
      </c>
      <c r="B2" s="1">
        <f>Assumptions!B2*Assumptions!B4</f>
        <v>720000</v>
      </c>
    </row>
    <row r="3">
      <c r="A3" s="1" t="s">
        <v>12</v>
      </c>
      <c r="B3" s="1">
        <f>Assumptions!B5*Assumptions!B6</f>
        <v>5980000</v>
      </c>
    </row>
    <row r="4">
      <c r="A4" s="1" t="s">
        <v>13</v>
      </c>
      <c r="B4" s="1">
        <f>SUM(B1:B3)*0.15</f>
        <v>1192500</v>
      </c>
    </row>
    <row r="5">
      <c r="A5" s="1" t="s">
        <v>14</v>
      </c>
      <c r="B5" s="1">
        <f>SUM(B1:B4)</f>
        <v>9142500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2026-04-07T00:42:58Z</dcterms:created>
  <dc:creator>openpyxl</dc:creator>
</cp:coreProperties>
</file>